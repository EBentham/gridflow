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uk.corporg.net\NGTDFS$\Group\OandT\OptRisk\Operational_Requirements_WOKH\32_Electricity Incentives Development\Performance\Operational Insights\THERMAL CONSTRAINT COSTS 19-20\"/>
    </mc:Choice>
  </mc:AlternateContent>
  <xr:revisionPtr revIDLastSave="0" documentId="13_ncr:1_{9055658E-64D8-42BA-A8F0-7B869476F074}" xr6:coauthVersionLast="41" xr6:coauthVersionMax="41" xr10:uidLastSave="{00000000-0000-0000-0000-000000000000}"/>
  <bookViews>
    <workbookView xWindow="-120" yWindow="-120" windowWidth="21840" windowHeight="13140" activeTab="1" xr2:uid="{00000000-000D-0000-FFFF-FFFF00000000}"/>
  </bookViews>
  <sheets>
    <sheet name="Data" sheetId="2" r:id="rId1"/>
    <sheet name="Map" sheetId="1" r:id="rId2"/>
    <sheet name="Network Diagram E&amp;W" sheetId="4" r:id="rId3"/>
    <sheet name="Network Diagram Scot" sheetId="5" r:id="rId4"/>
    <sheet name="Dates" sheetId="3" r:id="rId5"/>
  </sheets>
  <definedNames>
    <definedName name="DateRange">Data!$A:$A</definedName>
  </definedNames>
  <calcPr calcId="191029" calcOnSave="0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5" i="1" a="1"/>
  <c r="F5" i="1" s="1"/>
  <c r="F6" i="1" a="1"/>
  <c r="F6" i="1" s="1"/>
  <c r="F7" i="1" a="1"/>
  <c r="F7" i="1" s="1"/>
  <c r="F8" i="1" a="1"/>
  <c r="F8" i="1" s="1"/>
  <c r="F9" i="1" a="1"/>
  <c r="F9" i="1" s="1"/>
</calcChain>
</file>

<file path=xl/sharedStrings.xml><?xml version="1.0" encoding="utf-8"?>
<sst xmlns="http://schemas.openxmlformats.org/spreadsheetml/2006/main" count="1475" uniqueCount="11">
  <si>
    <t>Settlement Date</t>
  </si>
  <si>
    <t>Constraint Group</t>
  </si>
  <si>
    <t>Daily Cost (GBP)</t>
  </si>
  <si>
    <t>ESTEX</t>
  </si>
  <si>
    <t>SCOTEX</t>
  </si>
  <si>
    <t>SEIMP</t>
  </si>
  <si>
    <t>SSE-SP</t>
  </si>
  <si>
    <t>SSHARN</t>
  </si>
  <si>
    <t>SWALEX</t>
  </si>
  <si>
    <t>Select a Date</t>
  </si>
  <si>
    <t>Click on the name of the constraint to go to the associated area of the Network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</si>
</sst>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left"/>
    </xf>
    <xf numFmtId="0" fontId="0" fillId="3" borderId="0" xfId="0" applyFill="1"/>
    <xf numFmtId="164" fontId="0" fillId="3" borderId="0" xfId="0" applyNumberFormat="1" applyFill="1"/>
    <xf numFmtId="0" fontId="1" fillId="3" borderId="0" xfId="0" applyFont="1" applyFill="1" applyAlignment="1">
      <alignment horizontal="center"/>
    </xf>
    <xf numFmtId="0" fontId="3" fillId="0" borderId="0" xfId="0" applyFont="1"/>
    <xf numFmtId="0" fontId="1" fillId="3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3" formatCode="#,##0"/>
    </dxf>
    <dxf>
      <numFmt numFmtId="165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Network Diagram E&amp;W'!G1"/><Relationship Id="rId7" Type="http://schemas.openxmlformats.org/officeDocument/2006/relationships/hyperlink" Target="#'Network Diagram Scot'!J40"/><Relationship Id="rId2" Type="http://schemas.openxmlformats.org/officeDocument/2006/relationships/hyperlink" Target="#'Network Diagram E&amp;W'!A1"/><Relationship Id="rId1" Type="http://schemas.openxmlformats.org/officeDocument/2006/relationships/image" Target="../media/image1.png"/><Relationship Id="rId6" Type="http://schemas.openxmlformats.org/officeDocument/2006/relationships/hyperlink" Target="#'Network Diagram E&amp;W'!T70"/><Relationship Id="rId5" Type="http://schemas.openxmlformats.org/officeDocument/2006/relationships/hyperlink" Target="#'Network Diagram E&amp;W'!T91"/><Relationship Id="rId4" Type="http://schemas.openxmlformats.org/officeDocument/2006/relationships/hyperlink" Target="#'Network Diagram E&amp;W'!T90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p!A1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p!A1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0</xdr:row>
      <xdr:rowOff>0</xdr:rowOff>
    </xdr:from>
    <xdr:to>
      <xdr:col>17</xdr:col>
      <xdr:colOff>26925</xdr:colOff>
      <xdr:row>27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D2BCE0E-F1CF-40DF-A473-2C191695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0"/>
          <a:ext cx="7866000" cy="5143500"/>
        </a:xfrm>
        <a:prstGeom prst="rect">
          <a:avLst/>
        </a:prstGeom>
      </xdr:spPr>
    </xdr:pic>
    <xdr:clientData/>
  </xdr:twoCellAnchor>
  <xdr:twoCellAnchor editAs="absolute">
    <xdr:from>
      <xdr:col>8</xdr:col>
      <xdr:colOff>66675</xdr:colOff>
      <xdr:row>20</xdr:row>
      <xdr:rowOff>104775</xdr:rowOff>
    </xdr:from>
    <xdr:to>
      <xdr:col>9</xdr:col>
      <xdr:colOff>276225</xdr:colOff>
      <xdr:row>22</xdr:row>
      <xdr:rowOff>152400</xdr:rowOff>
    </xdr:to>
    <xdr:sp macro="" textlink="$E$9">
      <xdr:nvSpPr>
        <xdr:cNvPr id="15" name="TextBox 14">
          <a:extLst>
            <a:ext uri="{FF2B5EF4-FFF2-40B4-BE49-F238E27FC236}">
              <a16:creationId xmlns:a16="http://schemas.microsoft.com/office/drawing/2014/main" id="{373590F9-F9A7-47D7-8422-FAA14BC29CE0}"/>
            </a:ext>
          </a:extLst>
        </xdr:cNvPr>
        <xdr:cNvSpPr txBox="1"/>
      </xdr:nvSpPr>
      <xdr:spPr>
        <a:xfrm>
          <a:off x="4286250" y="391477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53C888-ED7F-45F8-AE46-6725EA7752A8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SWALEX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514350</xdr:colOff>
      <xdr:row>9</xdr:row>
      <xdr:rowOff>47625</xdr:rowOff>
    </xdr:from>
    <xdr:to>
      <xdr:col>12</xdr:col>
      <xdr:colOff>114300</xdr:colOff>
      <xdr:row>11</xdr:row>
      <xdr:rowOff>95250</xdr:rowOff>
    </xdr:to>
    <xdr:sp macro="" textlink="$E$5">
      <xdr:nvSpPr>
        <xdr:cNvPr id="12" name="TextBox 11">
          <a:extLst>
            <a:ext uri="{FF2B5EF4-FFF2-40B4-BE49-F238E27FC236}">
              <a16:creationId xmlns:a16="http://schemas.microsoft.com/office/drawing/2014/main" id="{77023787-7C0B-43CF-B462-CEA143AA1145}"/>
            </a:ext>
          </a:extLst>
        </xdr:cNvPr>
        <xdr:cNvSpPr txBox="1"/>
      </xdr:nvSpPr>
      <xdr:spPr>
        <a:xfrm>
          <a:off x="5953125" y="1762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30C2C-2F57-44CF-9D2A-F245B2E95613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SCOTEX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133350</xdr:colOff>
      <xdr:row>8</xdr:row>
      <xdr:rowOff>0</xdr:rowOff>
    </xdr:from>
    <xdr:to>
      <xdr:col>11</xdr:col>
      <xdr:colOff>342900</xdr:colOff>
      <xdr:row>10</xdr:row>
      <xdr:rowOff>47625</xdr:rowOff>
    </xdr:to>
    <xdr:sp macro="" textlink="$F$7">
      <xdr:nvSpPr>
        <xdr:cNvPr id="3" name="TextBox 2">
          <a:extLst>
            <a:ext uri="{FF2B5EF4-FFF2-40B4-BE49-F238E27FC236}">
              <a16:creationId xmlns:a16="http://schemas.microsoft.com/office/drawing/2014/main" id="{BF0BB9B7-3840-458F-8292-0731AA90EAAC}"/>
            </a:ext>
          </a:extLst>
        </xdr:cNvPr>
        <xdr:cNvSpPr txBox="1"/>
      </xdr:nvSpPr>
      <xdr:spPr>
        <a:xfrm>
          <a:off x="5572125" y="152400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490EC79-7B43-4DDA-839E-1DA6F70802E5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£653,229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552450</xdr:colOff>
      <xdr:row>10</xdr:row>
      <xdr:rowOff>19050</xdr:rowOff>
    </xdr:from>
    <xdr:to>
      <xdr:col>12</xdr:col>
      <xdr:colOff>152400</xdr:colOff>
      <xdr:row>12</xdr:row>
      <xdr:rowOff>66675</xdr:rowOff>
    </xdr:to>
    <xdr:sp macro="" textlink="$F$5">
      <xdr:nvSpPr>
        <xdr:cNvPr id="4" name="TextBox 3">
          <a:extLst>
            <a:ext uri="{FF2B5EF4-FFF2-40B4-BE49-F238E27FC236}">
              <a16:creationId xmlns:a16="http://schemas.microsoft.com/office/drawing/2014/main" id="{C5A41356-E134-4BC0-9FCB-3126BFC5E862}"/>
            </a:ext>
          </a:extLst>
        </xdr:cNvPr>
        <xdr:cNvSpPr txBox="1"/>
      </xdr:nvSpPr>
      <xdr:spPr>
        <a:xfrm>
          <a:off x="5991225" y="19240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CE9BC6C-512C-498A-A623-96FE92FF2F4A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£10,276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571500</xdr:colOff>
      <xdr:row>23</xdr:row>
      <xdr:rowOff>95250</xdr:rowOff>
    </xdr:from>
    <xdr:to>
      <xdr:col>13</xdr:col>
      <xdr:colOff>171450</xdr:colOff>
      <xdr:row>25</xdr:row>
      <xdr:rowOff>142875</xdr:rowOff>
    </xdr:to>
    <xdr:sp macro="" textlink="$F$3">
      <xdr:nvSpPr>
        <xdr:cNvPr id="6" name="TextBox 5">
          <a:extLst>
            <a:ext uri="{FF2B5EF4-FFF2-40B4-BE49-F238E27FC236}">
              <a16:creationId xmlns:a16="http://schemas.microsoft.com/office/drawing/2014/main" id="{2375AC2C-E6E5-41DF-8427-D611B653FFA9}"/>
            </a:ext>
          </a:extLst>
        </xdr:cNvPr>
        <xdr:cNvSpPr txBox="1"/>
      </xdr:nvSpPr>
      <xdr:spPr>
        <a:xfrm>
          <a:off x="6619875" y="44767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112F3C9-FDDE-4B94-8C68-95063F664150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47625</xdr:colOff>
      <xdr:row>23</xdr:row>
      <xdr:rowOff>161925</xdr:rowOff>
    </xdr:from>
    <xdr:to>
      <xdr:col>11</xdr:col>
      <xdr:colOff>257175</xdr:colOff>
      <xdr:row>26</xdr:row>
      <xdr:rowOff>19050</xdr:rowOff>
    </xdr:to>
    <xdr:sp macro="" textlink="$F$6">
      <xdr:nvSpPr>
        <xdr:cNvPr id="7" name="TextBox 6">
          <a:extLst>
            <a:ext uri="{FF2B5EF4-FFF2-40B4-BE49-F238E27FC236}">
              <a16:creationId xmlns:a16="http://schemas.microsoft.com/office/drawing/2014/main" id="{162EED9F-69CE-4F13-B36F-30B09A690A3B}"/>
            </a:ext>
          </a:extLst>
        </xdr:cNvPr>
        <xdr:cNvSpPr txBox="1"/>
      </xdr:nvSpPr>
      <xdr:spPr>
        <a:xfrm>
          <a:off x="5486400" y="45434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A0BDCCA6-4787-4FEC-ABDE-06264609FE86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 algn="l"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76200</xdr:colOff>
      <xdr:row>12</xdr:row>
      <xdr:rowOff>114300</xdr:rowOff>
    </xdr:from>
    <xdr:to>
      <xdr:col>12</xdr:col>
      <xdr:colOff>285750</xdr:colOff>
      <xdr:row>14</xdr:row>
      <xdr:rowOff>161925</xdr:rowOff>
    </xdr:to>
    <xdr:sp macro="" textlink="$F$8">
      <xdr:nvSpPr>
        <xdr:cNvPr id="9" name="TextBox 8">
          <a:extLst>
            <a:ext uri="{FF2B5EF4-FFF2-40B4-BE49-F238E27FC236}">
              <a16:creationId xmlns:a16="http://schemas.microsoft.com/office/drawing/2014/main" id="{D60109DE-F378-4661-AF3B-578AA33D0AE9}"/>
            </a:ext>
          </a:extLst>
        </xdr:cNvPr>
        <xdr:cNvSpPr txBox="1"/>
      </xdr:nvSpPr>
      <xdr:spPr>
        <a:xfrm>
          <a:off x="6124575" y="240030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64FE01C-F64F-4A95-B517-84877DCAB310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57150</xdr:colOff>
      <xdr:row>21</xdr:row>
      <xdr:rowOff>47625</xdr:rowOff>
    </xdr:from>
    <xdr:to>
      <xdr:col>9</xdr:col>
      <xdr:colOff>266700</xdr:colOff>
      <xdr:row>23</xdr:row>
      <xdr:rowOff>95250</xdr:rowOff>
    </xdr:to>
    <xdr:sp macro="" textlink="$F$9">
      <xdr:nvSpPr>
        <xdr:cNvPr id="10" name="TextBox 9">
          <a:extLst>
            <a:ext uri="{FF2B5EF4-FFF2-40B4-BE49-F238E27FC236}">
              <a16:creationId xmlns:a16="http://schemas.microsoft.com/office/drawing/2014/main" id="{56E546CB-26F0-48AF-8D2D-07807A67C03E}"/>
            </a:ext>
          </a:extLst>
        </xdr:cNvPr>
        <xdr:cNvSpPr txBox="1"/>
      </xdr:nvSpPr>
      <xdr:spPr>
        <a:xfrm>
          <a:off x="4276725" y="4048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517A78A-6BC3-4318-83B3-CEC7C448D62A}" type="TxLink">
            <a:rPr lang="en-US" sz="1100" b="1" i="0" u="none" strike="noStrike">
              <a:solidFill>
                <a:schemeClr val="accent4">
                  <a:lumMod val="75000"/>
                </a:schemeClr>
              </a:solidFill>
              <a:latin typeface="Calibri"/>
            </a:rPr>
            <a:pPr/>
            <a:t>£0</a:t>
          </a:fld>
          <a:endParaRPr lang="en-GB" sz="11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142875</xdr:colOff>
      <xdr:row>7</xdr:row>
      <xdr:rowOff>47625</xdr:rowOff>
    </xdr:from>
    <xdr:to>
      <xdr:col>11</xdr:col>
      <xdr:colOff>352425</xdr:colOff>
      <xdr:row>9</xdr:row>
      <xdr:rowOff>95250</xdr:rowOff>
    </xdr:to>
    <xdr:sp macro="" textlink="$E$7">
      <xdr:nvSpPr>
        <xdr:cNvPr id="11" name="TextBox 10">
          <a:extLst>
            <a:ext uri="{FF2B5EF4-FFF2-40B4-BE49-F238E27FC236}">
              <a16:creationId xmlns:a16="http://schemas.microsoft.com/office/drawing/2014/main" id="{1B7F3332-B851-44D3-AE96-0F8E08ABC665}"/>
            </a:ext>
          </a:extLst>
        </xdr:cNvPr>
        <xdr:cNvSpPr txBox="1"/>
      </xdr:nvSpPr>
      <xdr:spPr>
        <a:xfrm>
          <a:off x="5581650" y="13811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7E30FA-C37C-41C2-9521-83D85405D8F8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SSE-SP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95250</xdr:colOff>
      <xdr:row>11</xdr:row>
      <xdr:rowOff>171450</xdr:rowOff>
    </xdr:from>
    <xdr:to>
      <xdr:col>12</xdr:col>
      <xdr:colOff>304800</xdr:colOff>
      <xdr:row>14</xdr:row>
      <xdr:rowOff>28575</xdr:rowOff>
    </xdr:to>
    <xdr:sp macro="" textlink="$E$8">
      <xdr:nvSpPr>
        <xdr:cNvPr id="13" name="TextBox 12">
          <a:extLst>
            <a:ext uri="{FF2B5EF4-FFF2-40B4-BE49-F238E27FC236}">
              <a16:creationId xmlns:a16="http://schemas.microsoft.com/office/drawing/2014/main" id="{DA6F8AE9-5A08-413E-AD83-E6AC935CECD0}"/>
            </a:ext>
          </a:extLst>
        </xdr:cNvPr>
        <xdr:cNvSpPr txBox="1"/>
      </xdr:nvSpPr>
      <xdr:spPr>
        <a:xfrm>
          <a:off x="6143625" y="2266950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66F168-8EA2-47C4-9385-CD8F39315836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SSHARN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11</xdr:col>
      <xdr:colOff>571500</xdr:colOff>
      <xdr:row>22</xdr:row>
      <xdr:rowOff>161925</xdr:rowOff>
    </xdr:from>
    <xdr:to>
      <xdr:col>13</xdr:col>
      <xdr:colOff>171450</xdr:colOff>
      <xdr:row>25</xdr:row>
      <xdr:rowOff>19050</xdr:rowOff>
    </xdr:to>
    <xdr:sp macro="" textlink="$E$3">
      <xdr:nvSpPr>
        <xdr:cNvPr id="16" name="TextBox 15">
          <a:extLst>
            <a:ext uri="{FF2B5EF4-FFF2-40B4-BE49-F238E27FC236}">
              <a16:creationId xmlns:a16="http://schemas.microsoft.com/office/drawing/2014/main" id="{1B2025E3-604C-4F78-B8AB-57ABE3F29826}"/>
            </a:ext>
          </a:extLst>
        </xdr:cNvPr>
        <xdr:cNvSpPr txBox="1"/>
      </xdr:nvSpPr>
      <xdr:spPr>
        <a:xfrm>
          <a:off x="6619875" y="435292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6D6C956-8F3E-4A22-8FBC-104DAC7E3523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/>
            <a:t>ESTEX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47625</xdr:colOff>
      <xdr:row>23</xdr:row>
      <xdr:rowOff>28575</xdr:rowOff>
    </xdr:from>
    <xdr:to>
      <xdr:col>11</xdr:col>
      <xdr:colOff>257175</xdr:colOff>
      <xdr:row>25</xdr:row>
      <xdr:rowOff>76200</xdr:rowOff>
    </xdr:to>
    <xdr:sp macro="" textlink="$E$6">
      <xdr:nvSpPr>
        <xdr:cNvPr id="17" name="TextBox 16">
          <a:extLst>
            <a:ext uri="{FF2B5EF4-FFF2-40B4-BE49-F238E27FC236}">
              <a16:creationId xmlns:a16="http://schemas.microsoft.com/office/drawing/2014/main" id="{8C9DB6F9-6821-4A29-A68D-147957147C4F}"/>
            </a:ext>
          </a:extLst>
        </xdr:cNvPr>
        <xdr:cNvSpPr txBox="1"/>
      </xdr:nvSpPr>
      <xdr:spPr>
        <a:xfrm>
          <a:off x="5486400" y="4410075"/>
          <a:ext cx="819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DF903D76-D6C5-4E86-A306-61701C1F0371}" type="TxLink"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/>
            </a:rPr>
            <a:pPr algn="l"/>
            <a:t>SEIMP</a:t>
          </a:fld>
          <a:endParaRPr lang="en-GB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161925</xdr:colOff>
      <xdr:row>7</xdr:row>
      <xdr:rowOff>145846</xdr:rowOff>
    </xdr:from>
    <xdr:to>
      <xdr:col>10</xdr:col>
      <xdr:colOff>161925</xdr:colOff>
      <xdr:row>8</xdr:row>
      <xdr:rowOff>74354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7B53D68-ABC5-4DB4-B255-F4290E31BA47}"/>
            </a:ext>
          </a:extLst>
        </xdr:cNvPr>
        <xdr:cNvCxnSpPr/>
      </xdr:nvCxnSpPr>
      <xdr:spPr>
        <a:xfrm>
          <a:off x="5600700" y="1479346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9</xdr:row>
      <xdr:rowOff>145846</xdr:rowOff>
    </xdr:from>
    <xdr:to>
      <xdr:col>10</xdr:col>
      <xdr:colOff>533400</xdr:colOff>
      <xdr:row>10</xdr:row>
      <xdr:rowOff>74354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EB768FF-113D-40AD-AEF9-E179CD7F8F82}"/>
            </a:ext>
          </a:extLst>
        </xdr:cNvPr>
        <xdr:cNvCxnSpPr/>
      </xdr:nvCxnSpPr>
      <xdr:spPr>
        <a:xfrm>
          <a:off x="5972175" y="1860346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12</xdr:row>
      <xdr:rowOff>66675</xdr:rowOff>
    </xdr:from>
    <xdr:to>
      <xdr:col>11</xdr:col>
      <xdr:colOff>104775</xdr:colOff>
      <xdr:row>12</xdr:row>
      <xdr:rowOff>185683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926BDDD3-F8C2-47AE-86D8-5705578B8F2F}"/>
            </a:ext>
          </a:extLst>
        </xdr:cNvPr>
        <xdr:cNvCxnSpPr/>
      </xdr:nvCxnSpPr>
      <xdr:spPr>
        <a:xfrm>
          <a:off x="6153150" y="23526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83371</xdr:colOff>
      <xdr:row>21</xdr:row>
      <xdr:rowOff>49979</xdr:rowOff>
    </xdr:from>
    <xdr:to>
      <xdr:col>9</xdr:col>
      <xdr:colOff>202379</xdr:colOff>
      <xdr:row>21</xdr:row>
      <xdr:rowOff>49979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86AA9DA0-0837-4E98-AAA7-345C4537F64A}"/>
            </a:ext>
          </a:extLst>
        </xdr:cNvPr>
        <xdr:cNvCxnSpPr/>
      </xdr:nvCxnSpPr>
      <xdr:spPr>
        <a:xfrm rot="16200000" flipH="1">
          <a:off x="4972050" y="39909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540571</xdr:colOff>
      <xdr:row>23</xdr:row>
      <xdr:rowOff>164279</xdr:rowOff>
    </xdr:from>
    <xdr:to>
      <xdr:col>11</xdr:col>
      <xdr:colOff>49979</xdr:colOff>
      <xdr:row>23</xdr:row>
      <xdr:rowOff>164279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FD0141E-413C-4301-AAEC-B3DF2A88A1D9}"/>
            </a:ext>
          </a:extLst>
        </xdr:cNvPr>
        <xdr:cNvCxnSpPr/>
      </xdr:nvCxnSpPr>
      <xdr:spPr>
        <a:xfrm rot="16200000" flipH="1">
          <a:off x="6038850" y="4486275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511996</xdr:colOff>
      <xdr:row>23</xdr:row>
      <xdr:rowOff>116654</xdr:rowOff>
    </xdr:from>
    <xdr:to>
      <xdr:col>12</xdr:col>
      <xdr:colOff>21404</xdr:colOff>
      <xdr:row>23</xdr:row>
      <xdr:rowOff>116654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85DF138-C2B0-4F0D-A33E-4B327FB9F0EC}"/>
            </a:ext>
          </a:extLst>
        </xdr:cNvPr>
        <xdr:cNvCxnSpPr/>
      </xdr:nvCxnSpPr>
      <xdr:spPr>
        <a:xfrm rot="5400000">
          <a:off x="6619875" y="4438650"/>
          <a:ext cx="0" cy="119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466725</xdr:colOff>
      <xdr:row>9</xdr:row>
      <xdr:rowOff>57150</xdr:rowOff>
    </xdr:from>
    <xdr:to>
      <xdr:col>11</xdr:col>
      <xdr:colOff>542925</xdr:colOff>
      <xdr:row>11</xdr:row>
      <xdr:rowOff>66675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290888-6A1A-4C38-900F-4905D225BEB1}"/>
            </a:ext>
          </a:extLst>
        </xdr:cNvPr>
        <xdr:cNvSpPr/>
      </xdr:nvSpPr>
      <xdr:spPr>
        <a:xfrm>
          <a:off x="5905500" y="177165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11</xdr:col>
      <xdr:colOff>9525</xdr:colOff>
      <xdr:row>11</xdr:row>
      <xdr:rowOff>161925</xdr:rowOff>
    </xdr:from>
    <xdr:to>
      <xdr:col>12</xdr:col>
      <xdr:colOff>85725</xdr:colOff>
      <xdr:row>13</xdr:row>
      <xdr:rowOff>171450</xdr:rowOff>
    </xdr:to>
    <xdr:sp macro="" textlink="">
      <xdr:nvSpPr>
        <xdr:cNvPr id="28" name="Rectangle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B3BEDD-3532-4978-A9CA-88AD2B4C4F54}"/>
            </a:ext>
          </a:extLst>
        </xdr:cNvPr>
        <xdr:cNvSpPr/>
      </xdr:nvSpPr>
      <xdr:spPr>
        <a:xfrm>
          <a:off x="6057900" y="225742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11</xdr:col>
      <xdr:colOff>523875</xdr:colOff>
      <xdr:row>22</xdr:row>
      <xdr:rowOff>180975</xdr:rowOff>
    </xdr:from>
    <xdr:to>
      <xdr:col>12</xdr:col>
      <xdr:colOff>600075</xdr:colOff>
      <xdr:row>25</xdr:row>
      <xdr:rowOff>0</xdr:rowOff>
    </xdr:to>
    <xdr:sp macro="" textlink="">
      <xdr:nvSpPr>
        <xdr:cNvPr id="32" name="Rectangle 3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27D69F-D9FD-4F49-8D64-C609E59FBFAA}"/>
            </a:ext>
          </a:extLst>
        </xdr:cNvPr>
        <xdr:cNvSpPr/>
      </xdr:nvSpPr>
      <xdr:spPr>
        <a:xfrm>
          <a:off x="6572250" y="437197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9</xdr:col>
      <xdr:colOff>590550</xdr:colOff>
      <xdr:row>23</xdr:row>
      <xdr:rowOff>38100</xdr:rowOff>
    </xdr:from>
    <xdr:to>
      <xdr:col>11</xdr:col>
      <xdr:colOff>57150</xdr:colOff>
      <xdr:row>25</xdr:row>
      <xdr:rowOff>47625</xdr:rowOff>
    </xdr:to>
    <xdr:sp macro="" textlink="">
      <xdr:nvSpPr>
        <xdr:cNvPr id="33" name="Rectangle 3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37D27A-0739-41F3-8E25-97E327CAE6E0}"/>
            </a:ext>
          </a:extLst>
        </xdr:cNvPr>
        <xdr:cNvSpPr/>
      </xdr:nvSpPr>
      <xdr:spPr>
        <a:xfrm>
          <a:off x="5419725" y="441960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8</xdr:col>
      <xdr:colOff>133350</xdr:colOff>
      <xdr:row>20</xdr:row>
      <xdr:rowOff>123825</xdr:rowOff>
    </xdr:from>
    <xdr:to>
      <xdr:col>9</xdr:col>
      <xdr:colOff>209550</xdr:colOff>
      <xdr:row>22</xdr:row>
      <xdr:rowOff>133350</xdr:rowOff>
    </xdr:to>
    <xdr:sp macro="" textlink="">
      <xdr:nvSpPr>
        <xdr:cNvPr id="34" name="Rectangle 3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2D8BEF-608B-428C-8B18-49CC8EC1522F}"/>
            </a:ext>
          </a:extLst>
        </xdr:cNvPr>
        <xdr:cNvSpPr/>
      </xdr:nvSpPr>
      <xdr:spPr>
        <a:xfrm>
          <a:off x="4352925" y="3933825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10</xdr:col>
      <xdr:colOff>95250</xdr:colOff>
      <xdr:row>7</xdr:row>
      <xdr:rowOff>19050</xdr:rowOff>
    </xdr:from>
    <xdr:to>
      <xdr:col>11</xdr:col>
      <xdr:colOff>171450</xdr:colOff>
      <xdr:row>9</xdr:row>
      <xdr:rowOff>28575</xdr:rowOff>
    </xdr:to>
    <xdr:sp macro="" textlink="">
      <xdr:nvSpPr>
        <xdr:cNvPr id="35" name="Rectangle 3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46E8ECF-BCAA-4A38-BC5A-47A8E6D2C672}"/>
            </a:ext>
          </a:extLst>
        </xdr:cNvPr>
        <xdr:cNvSpPr/>
      </xdr:nvSpPr>
      <xdr:spPr>
        <a:xfrm>
          <a:off x="5534025" y="1352550"/>
          <a:ext cx="6858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123825</xdr:colOff>
      <xdr:row>0</xdr:row>
      <xdr:rowOff>0</xdr:rowOff>
    </xdr:from>
    <xdr:to>
      <xdr:col>19</xdr:col>
      <xdr:colOff>447675</xdr:colOff>
      <xdr:row>83</xdr:row>
      <xdr:rowOff>112691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938A4B-8275-420C-895E-FD201423B2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97"/>
        <a:stretch/>
      </xdr:blipFill>
      <xdr:spPr>
        <a:xfrm>
          <a:off x="123825" y="0"/>
          <a:ext cx="11906250" cy="15924191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6</xdr:row>
      <xdr:rowOff>123825</xdr:rowOff>
    </xdr:from>
    <xdr:to>
      <xdr:col>20</xdr:col>
      <xdr:colOff>581133</xdr:colOff>
      <xdr:row>10</xdr:row>
      <xdr:rowOff>123931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017C52-F32A-4427-ABE2-3C9F419E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126682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419100</xdr:colOff>
      <xdr:row>22</xdr:row>
      <xdr:rowOff>101600</xdr:rowOff>
    </xdr:from>
    <xdr:to>
      <xdr:col>20</xdr:col>
      <xdr:colOff>581133</xdr:colOff>
      <xdr:row>26</xdr:row>
      <xdr:rowOff>101706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AE9C4A-421C-42AA-B243-CF1D4BB58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429260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409575</xdr:colOff>
      <xdr:row>38</xdr:row>
      <xdr:rowOff>79375</xdr:rowOff>
    </xdr:from>
    <xdr:to>
      <xdr:col>20</xdr:col>
      <xdr:colOff>571608</xdr:colOff>
      <xdr:row>42</xdr:row>
      <xdr:rowOff>79481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52AD55-79EB-4E6F-BE4B-DD1AD7CF8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91975" y="731837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390525</xdr:colOff>
      <xdr:row>54</xdr:row>
      <xdr:rowOff>57150</xdr:rowOff>
    </xdr:from>
    <xdr:to>
      <xdr:col>20</xdr:col>
      <xdr:colOff>552558</xdr:colOff>
      <xdr:row>58</xdr:row>
      <xdr:rowOff>57256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3D3E80-0E7F-48B3-9F6E-0904D747A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72925" y="1034415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447567</xdr:colOff>
      <xdr:row>71</xdr:row>
      <xdr:rowOff>104775</xdr:rowOff>
    </xdr:from>
    <xdr:to>
      <xdr:col>21</xdr:col>
      <xdr:colOff>0</xdr:colOff>
      <xdr:row>75</xdr:row>
      <xdr:rowOff>104881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730149-2C6F-4A08-88EF-C0608A9BF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29967" y="13630275"/>
          <a:ext cx="771633" cy="762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18</xdr:col>
      <xdr:colOff>581025</xdr:colOff>
      <xdr:row>85</xdr:row>
      <xdr:rowOff>129904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923795-A3A9-4F41-99ED-68959AE64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53825" cy="16322404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2</xdr:row>
      <xdr:rowOff>180975</xdr:rowOff>
    </xdr:from>
    <xdr:to>
      <xdr:col>16383</xdr:col>
      <xdr:colOff>238233</xdr:colOff>
      <xdr:row>6</xdr:row>
      <xdr:rowOff>181081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F3E1E6-1C5F-4806-92DE-B2C6C8C6B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56197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18</xdr:row>
      <xdr:rowOff>30480</xdr:rowOff>
    </xdr:from>
    <xdr:to>
      <xdr:col>16383</xdr:col>
      <xdr:colOff>238233</xdr:colOff>
      <xdr:row>22</xdr:row>
      <xdr:rowOff>30586</xdr:rowOff>
    </xdr:to>
    <xdr:pic>
      <xdr:nvPicPr>
        <xdr:cNvPr id="8" name="Pictur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2420EF-703C-4586-8415-517C418B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345948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33</xdr:row>
      <xdr:rowOff>70485</xdr:rowOff>
    </xdr:from>
    <xdr:to>
      <xdr:col>16383</xdr:col>
      <xdr:colOff>238233</xdr:colOff>
      <xdr:row>37</xdr:row>
      <xdr:rowOff>70591</xdr:rowOff>
    </xdr:to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A13E40-6662-41F0-B5E6-ED06E61BC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635698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48</xdr:row>
      <xdr:rowOff>110490</xdr:rowOff>
    </xdr:from>
    <xdr:to>
      <xdr:col>16383</xdr:col>
      <xdr:colOff>238233</xdr:colOff>
      <xdr:row>52</xdr:row>
      <xdr:rowOff>110596</xdr:rowOff>
    </xdr:to>
    <xdr:pic>
      <xdr:nvPicPr>
        <xdr:cNvPr id="10" name="Pictur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6A3050-E4D4-49F8-A373-9EC8289F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9254490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63</xdr:row>
      <xdr:rowOff>150495</xdr:rowOff>
    </xdr:from>
    <xdr:to>
      <xdr:col>16383</xdr:col>
      <xdr:colOff>238233</xdr:colOff>
      <xdr:row>67</xdr:row>
      <xdr:rowOff>150601</xdr:rowOff>
    </xdr:to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71CC9D-F386-4E1B-A284-FE1B46D6E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12151995"/>
          <a:ext cx="771633" cy="76210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79</xdr:row>
      <xdr:rowOff>0</xdr:rowOff>
    </xdr:from>
    <xdr:to>
      <xdr:col>16383</xdr:col>
      <xdr:colOff>238233</xdr:colOff>
      <xdr:row>83</xdr:row>
      <xdr:rowOff>106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31DAAF-981B-4762-AB40-3A1A1905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15049500"/>
          <a:ext cx="771633" cy="76210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tional Grid" refreshedDate="43994.652117361111" createdVersion="6" refreshedVersion="6" minRefreshableVersion="3" recordCount="1464" xr:uid="{00000000-000A-0000-FFFF-FFFF06000000}">
  <cacheSource type="worksheet">
    <worksheetSource name="Costs"/>
  </cacheSource>
  <cacheFields count="3">
    <cacheField name="Settlement Date" numFmtId="14">
      <sharedItems containsSemiMixedTypes="0" containsNonDate="0" containsDate="1" containsString="0" minDate="2019-08-01T00:00:00" maxDate="2020-05-23T00:00:00" count="296"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7T00:00:00" u="1"/>
        <d v="2020-05-12T00:00:00" u="1"/>
        <d v="2020-04-26T00:00:00" u="1"/>
        <d v="2020-05-05T00:00:00" u="1"/>
        <d v="2020-04-19T00:00:00" u="1"/>
        <d v="2020-04-12T00:00:00" u="1"/>
        <d v="2020-05-17T00:00:00" u="1"/>
        <d v="2020-04-05T00:00:00" u="1"/>
        <d v="2020-05-10T00:00:00" u="1"/>
        <d v="2020-04-24T00:00:00" u="1"/>
        <d v="2020-05-03T00:00:00" u="1"/>
        <d v="2020-04-17T00:00:00" u="1"/>
        <d v="2020-05-22T00:00:00" u="1"/>
        <d v="2020-04-10T00:00:00" u="1"/>
        <d v="2020-05-15T00:00:00" u="1"/>
        <d v="2020-04-29T00:00:00" u="1"/>
        <d v="2020-04-03T00:00:00" u="1"/>
        <d v="2020-05-08T00:00:00" u="1"/>
        <d v="2020-04-22T00:00:00" u="1"/>
        <d v="2020-05-01T00:00:00" u="1"/>
        <d v="2020-04-15T00:00:00" u="1"/>
        <d v="2020-05-20T00:00:00" u="1"/>
        <d v="2020-04-08T00:00:00" u="1"/>
        <d v="2020-05-13T00:00:00" u="1"/>
        <d v="2020-04-27T00:00:00" u="1"/>
        <d v="2020-04-01T00:00:00" u="1"/>
        <d v="2020-05-06T00:00:00" u="1"/>
        <d v="2020-04-20T00:00:00" u="1"/>
        <d v="2020-04-13T00:00:00" u="1"/>
        <d v="2020-05-18T00:00:00" u="1"/>
        <d v="2020-04-06T00:00:00" u="1"/>
        <d v="2020-05-11T00:00:00" u="1"/>
        <d v="2020-04-25T00:00:00" u="1"/>
        <d v="2020-05-04T00:00:00" u="1"/>
        <d v="2020-04-18T00:00:00" u="1"/>
        <d v="2020-04-11T00:00:00" u="1"/>
        <d v="2020-05-16T00:00:00" u="1"/>
        <d v="2020-04-30T00:00:00" u="1"/>
        <d v="2020-04-04T00:00:00" u="1"/>
        <d v="2020-05-09T00:00:00" u="1"/>
        <d v="2020-04-23T00:00:00" u="1"/>
        <d v="2020-05-02T00:00:00" u="1"/>
        <d v="2020-04-16T00:00:00" u="1"/>
        <d v="2020-05-21T00:00:00" u="1"/>
        <d v="2020-04-09T00:00:00" u="1"/>
        <d v="2020-05-14T00:00:00" u="1"/>
        <d v="2020-04-28T00:00:00" u="1"/>
        <d v="2020-04-02T00:00:00" u="1"/>
        <d v="2020-05-07T00:00:00" u="1"/>
        <d v="2020-04-21T00:00:00" u="1"/>
        <d v="2020-04-14T00:00:00" u="1"/>
        <d v="2020-05-19T00:00:00" u="1"/>
      </sharedItems>
    </cacheField>
    <cacheField name="Constraint Group" numFmtId="0">
      <sharedItems/>
    </cacheField>
    <cacheField name="Daily Cost (GBP)" numFmtId="0">
      <sharedItems containsSemiMixedTypes="0" containsString="0" containsNumber="1" containsInteger="1" minValue="0" maxValue="70157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4">
  <r>
    <x v="0"/>
    <s v="ESTEX"/>
    <n v="45479"/>
  </r>
  <r>
    <x v="0"/>
    <s v="SCOTEX"/>
    <n v="0"/>
  </r>
  <r>
    <x v="0"/>
    <s v="SEIMP"/>
    <n v="0"/>
  </r>
  <r>
    <x v="0"/>
    <s v="SSE-SP"/>
    <n v="2077"/>
  </r>
  <r>
    <x v="0"/>
    <s v="SSHARN"/>
    <n v="0"/>
  </r>
  <r>
    <x v="0"/>
    <s v="SWALEX"/>
    <n v="0"/>
  </r>
  <r>
    <x v="1"/>
    <s v="ESTEX"/>
    <n v="659500"/>
  </r>
  <r>
    <x v="1"/>
    <s v="SCOTEX"/>
    <n v="0"/>
  </r>
  <r>
    <x v="1"/>
    <s v="SEIMP"/>
    <n v="0"/>
  </r>
  <r>
    <x v="1"/>
    <s v="SSE-SP"/>
    <n v="0"/>
  </r>
  <r>
    <x v="1"/>
    <s v="SSHARN"/>
    <n v="0"/>
  </r>
  <r>
    <x v="1"/>
    <s v="SWALEX"/>
    <n v="0"/>
  </r>
  <r>
    <x v="2"/>
    <s v="ESTEX"/>
    <n v="316812"/>
  </r>
  <r>
    <x v="2"/>
    <s v="SCOTEX"/>
    <n v="0"/>
  </r>
  <r>
    <x v="2"/>
    <s v="SEIMP"/>
    <n v="0"/>
  </r>
  <r>
    <x v="2"/>
    <s v="SSE-SP"/>
    <n v="0"/>
  </r>
  <r>
    <x v="2"/>
    <s v="SSHARN"/>
    <n v="0"/>
  </r>
  <r>
    <x v="2"/>
    <s v="SWALEX"/>
    <n v="0"/>
  </r>
  <r>
    <x v="3"/>
    <s v="ESTEX"/>
    <n v="209135"/>
  </r>
  <r>
    <x v="3"/>
    <s v="SCOTEX"/>
    <n v="0"/>
  </r>
  <r>
    <x v="3"/>
    <s v="SEIMP"/>
    <n v="0"/>
  </r>
  <r>
    <x v="3"/>
    <s v="SSE-SP"/>
    <n v="0"/>
  </r>
  <r>
    <x v="3"/>
    <s v="SSHARN"/>
    <n v="0"/>
  </r>
  <r>
    <x v="3"/>
    <s v="SWALEX"/>
    <n v="0"/>
  </r>
  <r>
    <x v="4"/>
    <s v="ESTEX"/>
    <n v="6445"/>
  </r>
  <r>
    <x v="4"/>
    <s v="SCOTEX"/>
    <n v="0"/>
  </r>
  <r>
    <x v="4"/>
    <s v="SEIMP"/>
    <n v="0"/>
  </r>
  <r>
    <x v="4"/>
    <s v="SSE-SP"/>
    <n v="0"/>
  </r>
  <r>
    <x v="4"/>
    <s v="SSHARN"/>
    <n v="0"/>
  </r>
  <r>
    <x v="4"/>
    <s v="SWALEX"/>
    <n v="0"/>
  </r>
  <r>
    <x v="5"/>
    <s v="ESTEX"/>
    <n v="274009"/>
  </r>
  <r>
    <x v="5"/>
    <s v="SCOTEX"/>
    <n v="0"/>
  </r>
  <r>
    <x v="5"/>
    <s v="SEIMP"/>
    <n v="0"/>
  </r>
  <r>
    <x v="5"/>
    <s v="SSE-SP"/>
    <n v="0"/>
  </r>
  <r>
    <x v="5"/>
    <s v="SSHARN"/>
    <n v="0"/>
  </r>
  <r>
    <x v="5"/>
    <s v="SWALEX"/>
    <n v="0"/>
  </r>
  <r>
    <x v="6"/>
    <s v="ESTEX"/>
    <n v="5063"/>
  </r>
  <r>
    <x v="6"/>
    <s v="SCOTEX"/>
    <n v="0"/>
  </r>
  <r>
    <x v="6"/>
    <s v="SEIMP"/>
    <n v="0"/>
  </r>
  <r>
    <x v="6"/>
    <s v="SSE-SP"/>
    <n v="0"/>
  </r>
  <r>
    <x v="6"/>
    <s v="SSHARN"/>
    <n v="0"/>
  </r>
  <r>
    <x v="6"/>
    <s v="SWALEX"/>
    <n v="0"/>
  </r>
  <r>
    <x v="7"/>
    <s v="ESTEX"/>
    <n v="405997"/>
  </r>
  <r>
    <x v="7"/>
    <s v="SCOTEX"/>
    <n v="0"/>
  </r>
  <r>
    <x v="7"/>
    <s v="SEIMP"/>
    <n v="0"/>
  </r>
  <r>
    <x v="7"/>
    <s v="SSE-SP"/>
    <n v="0"/>
  </r>
  <r>
    <x v="7"/>
    <s v="SSHARN"/>
    <n v="0"/>
  </r>
  <r>
    <x v="7"/>
    <s v="SWALEX"/>
    <n v="0"/>
  </r>
  <r>
    <x v="8"/>
    <s v="ESTEX"/>
    <n v="347579"/>
  </r>
  <r>
    <x v="8"/>
    <s v="SCOTEX"/>
    <n v="0"/>
  </r>
  <r>
    <x v="8"/>
    <s v="SEIMP"/>
    <n v="38501"/>
  </r>
  <r>
    <x v="8"/>
    <s v="SSE-SP"/>
    <n v="265961"/>
  </r>
  <r>
    <x v="8"/>
    <s v="SSHARN"/>
    <n v="0"/>
  </r>
  <r>
    <x v="8"/>
    <s v="SWALEX"/>
    <n v="0"/>
  </r>
  <r>
    <x v="9"/>
    <s v="ESTEX"/>
    <n v="0"/>
  </r>
  <r>
    <x v="9"/>
    <s v="SCOTEX"/>
    <n v="0"/>
  </r>
  <r>
    <x v="9"/>
    <s v="SEIMP"/>
    <n v="0"/>
  </r>
  <r>
    <x v="9"/>
    <s v="SSE-SP"/>
    <n v="330694"/>
  </r>
  <r>
    <x v="9"/>
    <s v="SSHARN"/>
    <n v="31887"/>
  </r>
  <r>
    <x v="9"/>
    <s v="SWALEX"/>
    <n v="0"/>
  </r>
  <r>
    <x v="10"/>
    <s v="ESTEX"/>
    <n v="0"/>
  </r>
  <r>
    <x v="10"/>
    <s v="SCOTEX"/>
    <n v="0"/>
  </r>
  <r>
    <x v="10"/>
    <s v="SEIMP"/>
    <n v="0"/>
  </r>
  <r>
    <x v="10"/>
    <s v="SSE-SP"/>
    <n v="0"/>
  </r>
  <r>
    <x v="10"/>
    <s v="SSHARN"/>
    <n v="597733"/>
  </r>
  <r>
    <x v="10"/>
    <s v="SWALEX"/>
    <n v="0"/>
  </r>
  <r>
    <x v="11"/>
    <s v="ESTEX"/>
    <n v="0"/>
  </r>
  <r>
    <x v="11"/>
    <s v="SCOTEX"/>
    <n v="0"/>
  </r>
  <r>
    <x v="11"/>
    <s v="SEIMP"/>
    <n v="0"/>
  </r>
  <r>
    <x v="11"/>
    <s v="SSE-SP"/>
    <n v="0"/>
  </r>
  <r>
    <x v="11"/>
    <s v="SSHARN"/>
    <n v="0"/>
  </r>
  <r>
    <x v="11"/>
    <s v="SWALEX"/>
    <n v="0"/>
  </r>
  <r>
    <x v="12"/>
    <s v="ESTEX"/>
    <n v="1552"/>
  </r>
  <r>
    <x v="12"/>
    <s v="SCOTEX"/>
    <n v="0"/>
  </r>
  <r>
    <x v="12"/>
    <s v="SEIMP"/>
    <n v="0"/>
  </r>
  <r>
    <x v="12"/>
    <s v="SSE-SP"/>
    <n v="0"/>
  </r>
  <r>
    <x v="12"/>
    <s v="SSHARN"/>
    <n v="8629"/>
  </r>
  <r>
    <x v="12"/>
    <s v="SWALEX"/>
    <n v="0"/>
  </r>
  <r>
    <x v="13"/>
    <s v="ESTEX"/>
    <n v="208711"/>
  </r>
  <r>
    <x v="13"/>
    <s v="SCOTEX"/>
    <n v="0"/>
  </r>
  <r>
    <x v="13"/>
    <s v="SEIMP"/>
    <n v="0"/>
  </r>
  <r>
    <x v="13"/>
    <s v="SSE-SP"/>
    <n v="0"/>
  </r>
  <r>
    <x v="13"/>
    <s v="SSHARN"/>
    <n v="163961"/>
  </r>
  <r>
    <x v="13"/>
    <s v="SWALEX"/>
    <n v="0"/>
  </r>
  <r>
    <x v="14"/>
    <s v="ESTEX"/>
    <n v="67247"/>
  </r>
  <r>
    <x v="14"/>
    <s v="SCOTEX"/>
    <n v="0"/>
  </r>
  <r>
    <x v="14"/>
    <s v="SEIMP"/>
    <n v="0"/>
  </r>
  <r>
    <x v="14"/>
    <s v="SSE-SP"/>
    <n v="0"/>
  </r>
  <r>
    <x v="14"/>
    <s v="SSHARN"/>
    <n v="753992"/>
  </r>
  <r>
    <x v="14"/>
    <s v="SWALEX"/>
    <n v="0"/>
  </r>
  <r>
    <x v="15"/>
    <s v="ESTEX"/>
    <n v="0"/>
  </r>
  <r>
    <x v="15"/>
    <s v="SCOTEX"/>
    <n v="0"/>
  </r>
  <r>
    <x v="15"/>
    <s v="SEIMP"/>
    <n v="0"/>
  </r>
  <r>
    <x v="15"/>
    <s v="SSE-SP"/>
    <n v="0"/>
  </r>
  <r>
    <x v="15"/>
    <s v="SSHARN"/>
    <n v="333486"/>
  </r>
  <r>
    <x v="15"/>
    <s v="SWALEX"/>
    <n v="0"/>
  </r>
  <r>
    <x v="16"/>
    <s v="ESTEX"/>
    <n v="0"/>
  </r>
  <r>
    <x v="16"/>
    <s v="SCOTEX"/>
    <n v="0"/>
  </r>
  <r>
    <x v="16"/>
    <s v="SEIMP"/>
    <n v="0"/>
  </r>
  <r>
    <x v="16"/>
    <s v="SSE-SP"/>
    <n v="0"/>
  </r>
  <r>
    <x v="16"/>
    <s v="SSHARN"/>
    <n v="971274"/>
  </r>
  <r>
    <x v="16"/>
    <s v="SWALEX"/>
    <n v="0"/>
  </r>
  <r>
    <x v="17"/>
    <s v="ESTEX"/>
    <n v="0"/>
  </r>
  <r>
    <x v="17"/>
    <s v="SCOTEX"/>
    <n v="0"/>
  </r>
  <r>
    <x v="17"/>
    <s v="SEIMP"/>
    <n v="0"/>
  </r>
  <r>
    <x v="17"/>
    <s v="SSE-SP"/>
    <n v="0"/>
  </r>
  <r>
    <x v="17"/>
    <s v="SSHARN"/>
    <n v="0"/>
  </r>
  <r>
    <x v="17"/>
    <s v="SWALEX"/>
    <n v="0"/>
  </r>
  <r>
    <x v="18"/>
    <s v="ESTEX"/>
    <n v="0"/>
  </r>
  <r>
    <x v="18"/>
    <s v="SCOTEX"/>
    <n v="0"/>
  </r>
  <r>
    <x v="18"/>
    <s v="SEIMP"/>
    <n v="0"/>
  </r>
  <r>
    <x v="18"/>
    <s v="SSE-SP"/>
    <n v="0"/>
  </r>
  <r>
    <x v="18"/>
    <s v="SSHARN"/>
    <n v="12288"/>
  </r>
  <r>
    <x v="18"/>
    <s v="SWALEX"/>
    <n v="0"/>
  </r>
  <r>
    <x v="19"/>
    <s v="ESTEX"/>
    <n v="0"/>
  </r>
  <r>
    <x v="19"/>
    <s v="SCOTEX"/>
    <n v="0"/>
  </r>
  <r>
    <x v="19"/>
    <s v="SEIMP"/>
    <n v="0"/>
  </r>
  <r>
    <x v="19"/>
    <s v="SSE-SP"/>
    <n v="0"/>
  </r>
  <r>
    <x v="19"/>
    <s v="SSHARN"/>
    <n v="0"/>
  </r>
  <r>
    <x v="19"/>
    <s v="SWALEX"/>
    <n v="0"/>
  </r>
  <r>
    <x v="20"/>
    <s v="ESTEX"/>
    <n v="0"/>
  </r>
  <r>
    <x v="20"/>
    <s v="SCOTEX"/>
    <n v="220737"/>
  </r>
  <r>
    <x v="20"/>
    <s v="SEIMP"/>
    <n v="0"/>
  </r>
  <r>
    <x v="20"/>
    <s v="SSE-SP"/>
    <n v="0"/>
  </r>
  <r>
    <x v="20"/>
    <s v="SSHARN"/>
    <n v="0"/>
  </r>
  <r>
    <x v="20"/>
    <s v="SWALEX"/>
    <n v="0"/>
  </r>
  <r>
    <x v="21"/>
    <s v="ESTEX"/>
    <n v="0"/>
  </r>
  <r>
    <x v="21"/>
    <s v="SCOTEX"/>
    <n v="954544"/>
  </r>
  <r>
    <x v="21"/>
    <s v="SEIMP"/>
    <n v="0"/>
  </r>
  <r>
    <x v="21"/>
    <s v="SSE-SP"/>
    <n v="0"/>
  </r>
  <r>
    <x v="21"/>
    <s v="SSHARN"/>
    <n v="0"/>
  </r>
  <r>
    <x v="21"/>
    <s v="SWALEX"/>
    <n v="0"/>
  </r>
  <r>
    <x v="22"/>
    <s v="ESTEX"/>
    <n v="0"/>
  </r>
  <r>
    <x v="22"/>
    <s v="SCOTEX"/>
    <n v="0"/>
  </r>
  <r>
    <x v="22"/>
    <s v="SEIMP"/>
    <n v="0"/>
  </r>
  <r>
    <x v="22"/>
    <s v="SSE-SP"/>
    <n v="642982"/>
  </r>
  <r>
    <x v="22"/>
    <s v="SSHARN"/>
    <n v="0"/>
  </r>
  <r>
    <x v="22"/>
    <s v="SWALEX"/>
    <n v="0"/>
  </r>
  <r>
    <x v="23"/>
    <s v="ESTEX"/>
    <n v="0"/>
  </r>
  <r>
    <x v="23"/>
    <s v="SCOTEX"/>
    <n v="0"/>
  </r>
  <r>
    <x v="23"/>
    <s v="SEIMP"/>
    <n v="0"/>
  </r>
  <r>
    <x v="23"/>
    <s v="SSE-SP"/>
    <n v="93660"/>
  </r>
  <r>
    <x v="23"/>
    <s v="SSHARN"/>
    <n v="0"/>
  </r>
  <r>
    <x v="23"/>
    <s v="SWALEX"/>
    <n v="0"/>
  </r>
  <r>
    <x v="24"/>
    <s v="ESTEX"/>
    <n v="0"/>
  </r>
  <r>
    <x v="24"/>
    <s v="SCOTEX"/>
    <n v="0"/>
  </r>
  <r>
    <x v="24"/>
    <s v="SEIMP"/>
    <n v="0"/>
  </r>
  <r>
    <x v="24"/>
    <s v="SSE-SP"/>
    <n v="0"/>
  </r>
  <r>
    <x v="24"/>
    <s v="SSHARN"/>
    <n v="0"/>
  </r>
  <r>
    <x v="24"/>
    <s v="SWALEX"/>
    <n v="0"/>
  </r>
  <r>
    <x v="25"/>
    <s v="ESTEX"/>
    <n v="0"/>
  </r>
  <r>
    <x v="25"/>
    <s v="SCOTEX"/>
    <n v="0"/>
  </r>
  <r>
    <x v="25"/>
    <s v="SEIMP"/>
    <n v="265781"/>
  </r>
  <r>
    <x v="25"/>
    <s v="SSE-SP"/>
    <n v="0"/>
  </r>
  <r>
    <x v="25"/>
    <s v="SSHARN"/>
    <n v="0"/>
  </r>
  <r>
    <x v="25"/>
    <s v="SWALEX"/>
    <n v="0"/>
  </r>
  <r>
    <x v="26"/>
    <s v="ESTEX"/>
    <n v="0"/>
  </r>
  <r>
    <x v="26"/>
    <s v="SCOTEX"/>
    <n v="0"/>
  </r>
  <r>
    <x v="26"/>
    <s v="SEIMP"/>
    <n v="413163"/>
  </r>
  <r>
    <x v="26"/>
    <s v="SSE-SP"/>
    <n v="0"/>
  </r>
  <r>
    <x v="26"/>
    <s v="SSHARN"/>
    <n v="0"/>
  </r>
  <r>
    <x v="26"/>
    <s v="SWALEX"/>
    <n v="0"/>
  </r>
  <r>
    <x v="27"/>
    <s v="ESTEX"/>
    <n v="0"/>
  </r>
  <r>
    <x v="27"/>
    <s v="SCOTEX"/>
    <n v="0"/>
  </r>
  <r>
    <x v="27"/>
    <s v="SEIMP"/>
    <n v="252631"/>
  </r>
  <r>
    <x v="27"/>
    <s v="SSE-SP"/>
    <n v="0"/>
  </r>
  <r>
    <x v="27"/>
    <s v="SSHARN"/>
    <n v="0"/>
  </r>
  <r>
    <x v="27"/>
    <s v="SWALEX"/>
    <n v="0"/>
  </r>
  <r>
    <x v="28"/>
    <s v="ESTEX"/>
    <n v="0"/>
  </r>
  <r>
    <x v="28"/>
    <s v="SCOTEX"/>
    <n v="583752"/>
  </r>
  <r>
    <x v="28"/>
    <s v="SEIMP"/>
    <n v="230374"/>
  </r>
  <r>
    <x v="28"/>
    <s v="SSE-SP"/>
    <n v="628202"/>
  </r>
  <r>
    <x v="28"/>
    <s v="SSHARN"/>
    <n v="0"/>
  </r>
  <r>
    <x v="28"/>
    <s v="SWALEX"/>
    <n v="0"/>
  </r>
  <r>
    <x v="29"/>
    <s v="ESTEX"/>
    <n v="0"/>
  </r>
  <r>
    <x v="29"/>
    <s v="SCOTEX"/>
    <n v="0"/>
  </r>
  <r>
    <x v="29"/>
    <s v="SEIMP"/>
    <n v="75368"/>
  </r>
  <r>
    <x v="29"/>
    <s v="SSE-SP"/>
    <n v="951050"/>
  </r>
  <r>
    <x v="29"/>
    <s v="SSHARN"/>
    <n v="3082392"/>
  </r>
  <r>
    <x v="29"/>
    <s v="SWALEX"/>
    <n v="0"/>
  </r>
  <r>
    <x v="30"/>
    <s v="ESTEX"/>
    <n v="0"/>
  </r>
  <r>
    <x v="30"/>
    <s v="SCOTEX"/>
    <n v="0"/>
  </r>
  <r>
    <x v="30"/>
    <s v="SEIMP"/>
    <n v="0"/>
  </r>
  <r>
    <x v="30"/>
    <s v="SSE-SP"/>
    <n v="4363602"/>
  </r>
  <r>
    <x v="30"/>
    <s v="SSHARN"/>
    <n v="0"/>
  </r>
  <r>
    <x v="30"/>
    <s v="SWALEX"/>
    <n v="0"/>
  </r>
  <r>
    <x v="31"/>
    <s v="ESTEX"/>
    <n v="0"/>
  </r>
  <r>
    <x v="31"/>
    <s v="SCOTEX"/>
    <n v="0"/>
  </r>
  <r>
    <x v="31"/>
    <s v="SEIMP"/>
    <n v="0"/>
  </r>
  <r>
    <x v="31"/>
    <s v="SSE-SP"/>
    <n v="0"/>
  </r>
  <r>
    <x v="31"/>
    <s v="SSHARN"/>
    <n v="2242925"/>
  </r>
  <r>
    <x v="31"/>
    <s v="SWALEX"/>
    <n v="0"/>
  </r>
  <r>
    <x v="32"/>
    <s v="ESTEX"/>
    <n v="0"/>
  </r>
  <r>
    <x v="32"/>
    <s v="SCOTEX"/>
    <n v="1985736"/>
  </r>
  <r>
    <x v="32"/>
    <s v="SEIMP"/>
    <n v="0"/>
  </r>
  <r>
    <x v="32"/>
    <s v="SSE-SP"/>
    <n v="2290"/>
  </r>
  <r>
    <x v="32"/>
    <s v="SSHARN"/>
    <n v="49105"/>
  </r>
  <r>
    <x v="32"/>
    <s v="SWALEX"/>
    <n v="0"/>
  </r>
  <r>
    <x v="33"/>
    <s v="ESTEX"/>
    <n v="0"/>
  </r>
  <r>
    <x v="33"/>
    <s v="SCOTEX"/>
    <n v="15494"/>
  </r>
  <r>
    <x v="33"/>
    <s v="SEIMP"/>
    <n v="0"/>
  </r>
  <r>
    <x v="33"/>
    <s v="SSE-SP"/>
    <n v="286819"/>
  </r>
  <r>
    <x v="33"/>
    <s v="SSHARN"/>
    <n v="165677"/>
  </r>
  <r>
    <x v="33"/>
    <s v="SWALEX"/>
    <n v="0"/>
  </r>
  <r>
    <x v="34"/>
    <s v="ESTEX"/>
    <n v="0"/>
  </r>
  <r>
    <x v="34"/>
    <s v="SCOTEX"/>
    <n v="1922371"/>
  </r>
  <r>
    <x v="34"/>
    <s v="SEIMP"/>
    <n v="969"/>
  </r>
  <r>
    <x v="34"/>
    <s v="SSE-SP"/>
    <n v="0"/>
  </r>
  <r>
    <x v="34"/>
    <s v="SSHARN"/>
    <n v="0"/>
  </r>
  <r>
    <x v="34"/>
    <s v="SWALEX"/>
    <n v="0"/>
  </r>
  <r>
    <x v="35"/>
    <s v="ESTEX"/>
    <n v="0"/>
  </r>
  <r>
    <x v="35"/>
    <s v="SCOTEX"/>
    <n v="468622"/>
  </r>
  <r>
    <x v="35"/>
    <s v="SEIMP"/>
    <n v="0"/>
  </r>
  <r>
    <x v="35"/>
    <s v="SSE-SP"/>
    <n v="331018"/>
  </r>
  <r>
    <x v="35"/>
    <s v="SSHARN"/>
    <n v="0"/>
  </r>
  <r>
    <x v="35"/>
    <s v="SWALEX"/>
    <n v="0"/>
  </r>
  <r>
    <x v="36"/>
    <s v="ESTEX"/>
    <n v="0"/>
  </r>
  <r>
    <x v="36"/>
    <s v="SCOTEX"/>
    <n v="0"/>
  </r>
  <r>
    <x v="36"/>
    <s v="SEIMP"/>
    <n v="0"/>
  </r>
  <r>
    <x v="36"/>
    <s v="SSE-SP"/>
    <n v="0"/>
  </r>
  <r>
    <x v="36"/>
    <s v="SSHARN"/>
    <n v="2012684"/>
  </r>
  <r>
    <x v="36"/>
    <s v="SWALEX"/>
    <n v="0"/>
  </r>
  <r>
    <x v="37"/>
    <s v="ESTEX"/>
    <n v="0"/>
  </r>
  <r>
    <x v="37"/>
    <s v="SCOTEX"/>
    <n v="0"/>
  </r>
  <r>
    <x v="37"/>
    <s v="SEIMP"/>
    <n v="0"/>
  </r>
  <r>
    <x v="37"/>
    <s v="SSE-SP"/>
    <n v="0"/>
  </r>
  <r>
    <x v="37"/>
    <s v="SSHARN"/>
    <n v="0"/>
  </r>
  <r>
    <x v="37"/>
    <s v="SWALEX"/>
    <n v="0"/>
  </r>
  <r>
    <x v="38"/>
    <s v="ESTEX"/>
    <n v="0"/>
  </r>
  <r>
    <x v="38"/>
    <s v="SCOTEX"/>
    <n v="0"/>
  </r>
  <r>
    <x v="38"/>
    <s v="SEIMP"/>
    <n v="0"/>
  </r>
  <r>
    <x v="38"/>
    <s v="SSE-SP"/>
    <n v="0"/>
  </r>
  <r>
    <x v="38"/>
    <s v="SSHARN"/>
    <n v="0"/>
  </r>
  <r>
    <x v="38"/>
    <s v="SWALEX"/>
    <n v="0"/>
  </r>
  <r>
    <x v="39"/>
    <s v="ESTEX"/>
    <n v="0"/>
  </r>
  <r>
    <x v="39"/>
    <s v="SCOTEX"/>
    <n v="0"/>
  </r>
  <r>
    <x v="39"/>
    <s v="SEIMP"/>
    <n v="0"/>
  </r>
  <r>
    <x v="39"/>
    <s v="SSE-SP"/>
    <n v="0"/>
  </r>
  <r>
    <x v="39"/>
    <s v="SSHARN"/>
    <n v="0"/>
  </r>
  <r>
    <x v="39"/>
    <s v="SWALEX"/>
    <n v="0"/>
  </r>
  <r>
    <x v="40"/>
    <s v="ESTEX"/>
    <n v="0"/>
  </r>
  <r>
    <x v="40"/>
    <s v="SCOTEX"/>
    <n v="0"/>
  </r>
  <r>
    <x v="40"/>
    <s v="SEIMP"/>
    <n v="0"/>
  </r>
  <r>
    <x v="40"/>
    <s v="SSE-SP"/>
    <n v="692265"/>
  </r>
  <r>
    <x v="40"/>
    <s v="SSHARN"/>
    <n v="554765"/>
  </r>
  <r>
    <x v="40"/>
    <s v="SWALEX"/>
    <n v="0"/>
  </r>
  <r>
    <x v="41"/>
    <s v="ESTEX"/>
    <n v="0"/>
  </r>
  <r>
    <x v="41"/>
    <s v="SCOTEX"/>
    <n v="942065"/>
  </r>
  <r>
    <x v="41"/>
    <s v="SEIMP"/>
    <n v="19258"/>
  </r>
  <r>
    <x v="41"/>
    <s v="SSE-SP"/>
    <n v="738921"/>
  </r>
  <r>
    <x v="41"/>
    <s v="SSHARN"/>
    <n v="1001380"/>
  </r>
  <r>
    <x v="41"/>
    <s v="SWALEX"/>
    <n v="0"/>
  </r>
  <r>
    <x v="42"/>
    <s v="ESTEX"/>
    <n v="0"/>
  </r>
  <r>
    <x v="42"/>
    <s v="SCOTEX"/>
    <n v="0"/>
  </r>
  <r>
    <x v="42"/>
    <s v="SEIMP"/>
    <n v="0"/>
  </r>
  <r>
    <x v="42"/>
    <s v="SSE-SP"/>
    <n v="0"/>
  </r>
  <r>
    <x v="42"/>
    <s v="SSHARN"/>
    <n v="0"/>
  </r>
  <r>
    <x v="42"/>
    <s v="SWALEX"/>
    <n v="0"/>
  </r>
  <r>
    <x v="43"/>
    <s v="ESTEX"/>
    <n v="0"/>
  </r>
  <r>
    <x v="43"/>
    <s v="SCOTEX"/>
    <n v="0"/>
  </r>
  <r>
    <x v="43"/>
    <s v="SEIMP"/>
    <n v="0"/>
  </r>
  <r>
    <x v="43"/>
    <s v="SSE-SP"/>
    <n v="287166"/>
  </r>
  <r>
    <x v="43"/>
    <s v="SSHARN"/>
    <n v="0"/>
  </r>
  <r>
    <x v="43"/>
    <s v="SWALEX"/>
    <n v="0"/>
  </r>
  <r>
    <x v="44"/>
    <s v="ESTEX"/>
    <n v="0"/>
  </r>
  <r>
    <x v="44"/>
    <s v="SCOTEX"/>
    <n v="3040333"/>
  </r>
  <r>
    <x v="44"/>
    <s v="SEIMP"/>
    <n v="0"/>
  </r>
  <r>
    <x v="44"/>
    <s v="SSE-SP"/>
    <n v="0"/>
  </r>
  <r>
    <x v="44"/>
    <s v="SSHARN"/>
    <n v="0"/>
  </r>
  <r>
    <x v="44"/>
    <s v="SWALEX"/>
    <n v="0"/>
  </r>
  <r>
    <x v="45"/>
    <s v="ESTEX"/>
    <n v="0"/>
  </r>
  <r>
    <x v="45"/>
    <s v="SCOTEX"/>
    <n v="1879805"/>
  </r>
  <r>
    <x v="45"/>
    <s v="SEIMP"/>
    <n v="0"/>
  </r>
  <r>
    <x v="45"/>
    <s v="SSE-SP"/>
    <n v="0"/>
  </r>
  <r>
    <x v="45"/>
    <s v="SSHARN"/>
    <n v="0"/>
  </r>
  <r>
    <x v="45"/>
    <s v="SWALEX"/>
    <n v="0"/>
  </r>
  <r>
    <x v="46"/>
    <s v="ESTEX"/>
    <n v="0"/>
  </r>
  <r>
    <x v="46"/>
    <s v="SCOTEX"/>
    <n v="0"/>
  </r>
  <r>
    <x v="46"/>
    <s v="SEIMP"/>
    <n v="10921"/>
  </r>
  <r>
    <x v="46"/>
    <s v="SSE-SP"/>
    <n v="1069824"/>
  </r>
  <r>
    <x v="46"/>
    <s v="SSHARN"/>
    <n v="12880"/>
  </r>
  <r>
    <x v="46"/>
    <s v="SWALEX"/>
    <n v="0"/>
  </r>
  <r>
    <x v="47"/>
    <s v="ESTEX"/>
    <n v="0"/>
  </r>
  <r>
    <x v="47"/>
    <s v="SCOTEX"/>
    <n v="0"/>
  </r>
  <r>
    <x v="47"/>
    <s v="SEIMP"/>
    <n v="0"/>
  </r>
  <r>
    <x v="47"/>
    <s v="SSE-SP"/>
    <n v="585881"/>
  </r>
  <r>
    <x v="47"/>
    <s v="SSHARN"/>
    <n v="161039"/>
  </r>
  <r>
    <x v="47"/>
    <s v="SWALEX"/>
    <n v="0"/>
  </r>
  <r>
    <x v="48"/>
    <s v="ESTEX"/>
    <n v="0"/>
  </r>
  <r>
    <x v="48"/>
    <s v="SCOTEX"/>
    <n v="0"/>
  </r>
  <r>
    <x v="48"/>
    <s v="SEIMP"/>
    <n v="0"/>
  </r>
  <r>
    <x v="48"/>
    <s v="SSE-SP"/>
    <n v="0"/>
  </r>
  <r>
    <x v="48"/>
    <s v="SSHARN"/>
    <n v="0"/>
  </r>
  <r>
    <x v="48"/>
    <s v="SWALEX"/>
    <n v="0"/>
  </r>
  <r>
    <x v="49"/>
    <s v="ESTEX"/>
    <n v="0"/>
  </r>
  <r>
    <x v="49"/>
    <s v="SCOTEX"/>
    <n v="0"/>
  </r>
  <r>
    <x v="49"/>
    <s v="SEIMP"/>
    <n v="0"/>
  </r>
  <r>
    <x v="49"/>
    <s v="SSE-SP"/>
    <n v="0"/>
  </r>
  <r>
    <x v="49"/>
    <s v="SSHARN"/>
    <n v="0"/>
  </r>
  <r>
    <x v="49"/>
    <s v="SWALEX"/>
    <n v="0"/>
  </r>
  <r>
    <x v="50"/>
    <s v="ESTEX"/>
    <n v="9851"/>
  </r>
  <r>
    <x v="50"/>
    <s v="SCOTEX"/>
    <n v="61822"/>
  </r>
  <r>
    <x v="50"/>
    <s v="SEIMP"/>
    <n v="0"/>
  </r>
  <r>
    <x v="50"/>
    <s v="SSE-SP"/>
    <n v="0"/>
  </r>
  <r>
    <x v="50"/>
    <s v="SSHARN"/>
    <n v="0"/>
  </r>
  <r>
    <x v="50"/>
    <s v="SWALEX"/>
    <n v="0"/>
  </r>
  <r>
    <x v="51"/>
    <s v="ESTEX"/>
    <n v="0"/>
  </r>
  <r>
    <x v="51"/>
    <s v="SCOTEX"/>
    <n v="0"/>
  </r>
  <r>
    <x v="51"/>
    <s v="SEIMP"/>
    <n v="0"/>
  </r>
  <r>
    <x v="51"/>
    <s v="SSE-SP"/>
    <n v="155212"/>
  </r>
  <r>
    <x v="51"/>
    <s v="SSHARN"/>
    <n v="206992"/>
  </r>
  <r>
    <x v="51"/>
    <s v="SWALEX"/>
    <n v="0"/>
  </r>
  <r>
    <x v="52"/>
    <s v="ESTEX"/>
    <n v="2171"/>
  </r>
  <r>
    <x v="52"/>
    <s v="SCOTEX"/>
    <n v="0"/>
  </r>
  <r>
    <x v="52"/>
    <s v="SEIMP"/>
    <n v="0"/>
  </r>
  <r>
    <x v="52"/>
    <s v="SSE-SP"/>
    <n v="0"/>
  </r>
  <r>
    <x v="52"/>
    <s v="SSHARN"/>
    <n v="0"/>
  </r>
  <r>
    <x v="52"/>
    <s v="SWALEX"/>
    <n v="0"/>
  </r>
  <r>
    <x v="53"/>
    <s v="ESTEX"/>
    <n v="0"/>
  </r>
  <r>
    <x v="53"/>
    <s v="SCOTEX"/>
    <n v="0"/>
  </r>
  <r>
    <x v="53"/>
    <s v="SEIMP"/>
    <n v="75870"/>
  </r>
  <r>
    <x v="53"/>
    <s v="SSE-SP"/>
    <n v="171098"/>
  </r>
  <r>
    <x v="53"/>
    <s v="SSHARN"/>
    <n v="0"/>
  </r>
  <r>
    <x v="53"/>
    <s v="SWALEX"/>
    <n v="0"/>
  </r>
  <r>
    <x v="54"/>
    <s v="ESTEX"/>
    <n v="0"/>
  </r>
  <r>
    <x v="54"/>
    <s v="SCOTEX"/>
    <n v="0"/>
  </r>
  <r>
    <x v="54"/>
    <s v="SEIMP"/>
    <n v="0"/>
  </r>
  <r>
    <x v="54"/>
    <s v="SSE-SP"/>
    <n v="317367"/>
  </r>
  <r>
    <x v="54"/>
    <s v="SSHARN"/>
    <n v="0"/>
  </r>
  <r>
    <x v="54"/>
    <s v="SWALEX"/>
    <n v="0"/>
  </r>
  <r>
    <x v="55"/>
    <s v="ESTEX"/>
    <n v="0"/>
  </r>
  <r>
    <x v="55"/>
    <s v="SCOTEX"/>
    <n v="0"/>
  </r>
  <r>
    <x v="55"/>
    <s v="SEIMP"/>
    <n v="0"/>
  </r>
  <r>
    <x v="55"/>
    <s v="SSE-SP"/>
    <n v="21230"/>
  </r>
  <r>
    <x v="55"/>
    <s v="SSHARN"/>
    <n v="0"/>
  </r>
  <r>
    <x v="55"/>
    <s v="SWALEX"/>
    <n v="0"/>
  </r>
  <r>
    <x v="56"/>
    <s v="ESTEX"/>
    <n v="1756"/>
  </r>
  <r>
    <x v="56"/>
    <s v="SCOTEX"/>
    <n v="210596"/>
  </r>
  <r>
    <x v="56"/>
    <s v="SEIMP"/>
    <n v="3320"/>
  </r>
  <r>
    <x v="56"/>
    <s v="SSE-SP"/>
    <n v="0"/>
  </r>
  <r>
    <x v="56"/>
    <s v="SSHARN"/>
    <n v="65271"/>
  </r>
  <r>
    <x v="56"/>
    <s v="SWALEX"/>
    <n v="0"/>
  </r>
  <r>
    <x v="57"/>
    <s v="ESTEX"/>
    <n v="0"/>
  </r>
  <r>
    <x v="57"/>
    <s v="SCOTEX"/>
    <n v="0"/>
  </r>
  <r>
    <x v="57"/>
    <s v="SEIMP"/>
    <n v="0"/>
  </r>
  <r>
    <x v="57"/>
    <s v="SSE-SP"/>
    <n v="0"/>
  </r>
  <r>
    <x v="57"/>
    <s v="SSHARN"/>
    <n v="0"/>
  </r>
  <r>
    <x v="57"/>
    <s v="SWALEX"/>
    <n v="0"/>
  </r>
  <r>
    <x v="58"/>
    <s v="ESTEX"/>
    <n v="0"/>
  </r>
  <r>
    <x v="58"/>
    <s v="SCOTEX"/>
    <n v="0"/>
  </r>
  <r>
    <x v="58"/>
    <s v="SEIMP"/>
    <n v="0"/>
  </r>
  <r>
    <x v="58"/>
    <s v="SSE-SP"/>
    <n v="0"/>
  </r>
  <r>
    <x v="58"/>
    <s v="SSHARN"/>
    <n v="0"/>
  </r>
  <r>
    <x v="58"/>
    <s v="SWALEX"/>
    <n v="0"/>
  </r>
  <r>
    <x v="59"/>
    <s v="ESTEX"/>
    <n v="0"/>
  </r>
  <r>
    <x v="59"/>
    <s v="SCOTEX"/>
    <n v="0"/>
  </r>
  <r>
    <x v="59"/>
    <s v="SEIMP"/>
    <n v="0"/>
  </r>
  <r>
    <x v="59"/>
    <s v="SSE-SP"/>
    <n v="0"/>
  </r>
  <r>
    <x v="59"/>
    <s v="SSHARN"/>
    <n v="0"/>
  </r>
  <r>
    <x v="59"/>
    <s v="SWALEX"/>
    <n v="0"/>
  </r>
  <r>
    <x v="60"/>
    <s v="ESTEX"/>
    <n v="0"/>
  </r>
  <r>
    <x v="60"/>
    <s v="SCOTEX"/>
    <n v="0"/>
  </r>
  <r>
    <x v="60"/>
    <s v="SEIMP"/>
    <n v="0"/>
  </r>
  <r>
    <x v="60"/>
    <s v="SSE-SP"/>
    <n v="0"/>
  </r>
  <r>
    <x v="60"/>
    <s v="SSHARN"/>
    <n v="0"/>
  </r>
  <r>
    <x v="60"/>
    <s v="SWALEX"/>
    <n v="0"/>
  </r>
  <r>
    <x v="61"/>
    <s v="ESTEX"/>
    <n v="0"/>
  </r>
  <r>
    <x v="61"/>
    <s v="SCOTEX"/>
    <n v="0"/>
  </r>
  <r>
    <x v="61"/>
    <s v="SEIMP"/>
    <n v="102843"/>
  </r>
  <r>
    <x v="61"/>
    <s v="SSE-SP"/>
    <n v="48916"/>
  </r>
  <r>
    <x v="61"/>
    <s v="SSHARN"/>
    <n v="322713"/>
  </r>
  <r>
    <x v="61"/>
    <s v="SWALEX"/>
    <n v="0"/>
  </r>
  <r>
    <x v="62"/>
    <s v="ESTEX"/>
    <n v="0"/>
  </r>
  <r>
    <x v="62"/>
    <s v="SCOTEX"/>
    <n v="0"/>
  </r>
  <r>
    <x v="62"/>
    <s v="SEIMP"/>
    <n v="0"/>
  </r>
  <r>
    <x v="62"/>
    <s v="SSE-SP"/>
    <n v="0"/>
  </r>
  <r>
    <x v="62"/>
    <s v="SSHARN"/>
    <n v="0"/>
  </r>
  <r>
    <x v="62"/>
    <s v="SWALEX"/>
    <n v="0"/>
  </r>
  <r>
    <x v="63"/>
    <s v="ESTEX"/>
    <n v="0"/>
  </r>
  <r>
    <x v="63"/>
    <s v="SCOTEX"/>
    <n v="750628"/>
  </r>
  <r>
    <x v="63"/>
    <s v="SEIMP"/>
    <n v="37994"/>
  </r>
  <r>
    <x v="63"/>
    <s v="SSE-SP"/>
    <n v="0"/>
  </r>
  <r>
    <x v="63"/>
    <s v="SSHARN"/>
    <n v="0"/>
  </r>
  <r>
    <x v="63"/>
    <s v="SWALEX"/>
    <n v="0"/>
  </r>
  <r>
    <x v="64"/>
    <s v="ESTEX"/>
    <n v="0"/>
  </r>
  <r>
    <x v="64"/>
    <s v="SCOTEX"/>
    <n v="836342"/>
  </r>
  <r>
    <x v="64"/>
    <s v="SEIMP"/>
    <n v="0"/>
  </r>
  <r>
    <x v="64"/>
    <s v="SSE-SP"/>
    <n v="0"/>
  </r>
  <r>
    <x v="64"/>
    <s v="SSHARN"/>
    <n v="0"/>
  </r>
  <r>
    <x v="64"/>
    <s v="SWALEX"/>
    <n v="0"/>
  </r>
  <r>
    <x v="65"/>
    <s v="ESTEX"/>
    <n v="0"/>
  </r>
  <r>
    <x v="65"/>
    <s v="SCOTEX"/>
    <n v="0"/>
  </r>
  <r>
    <x v="65"/>
    <s v="SEIMP"/>
    <n v="0"/>
  </r>
  <r>
    <x v="65"/>
    <s v="SSE-SP"/>
    <n v="0"/>
  </r>
  <r>
    <x v="65"/>
    <s v="SSHARN"/>
    <n v="227803"/>
  </r>
  <r>
    <x v="65"/>
    <s v="SWALEX"/>
    <n v="0"/>
  </r>
  <r>
    <x v="66"/>
    <s v="ESTEX"/>
    <n v="0"/>
  </r>
  <r>
    <x v="66"/>
    <s v="SCOTEX"/>
    <n v="0"/>
  </r>
  <r>
    <x v="66"/>
    <s v="SEIMP"/>
    <n v="0"/>
  </r>
  <r>
    <x v="66"/>
    <s v="SSE-SP"/>
    <n v="26091"/>
  </r>
  <r>
    <x v="66"/>
    <s v="SSHARN"/>
    <n v="1619470"/>
  </r>
  <r>
    <x v="66"/>
    <s v="SWALEX"/>
    <n v="0"/>
  </r>
  <r>
    <x v="67"/>
    <s v="ESTEX"/>
    <n v="0"/>
  </r>
  <r>
    <x v="67"/>
    <s v="SCOTEX"/>
    <n v="0"/>
  </r>
  <r>
    <x v="67"/>
    <s v="SEIMP"/>
    <n v="100723"/>
  </r>
  <r>
    <x v="67"/>
    <s v="SSE-SP"/>
    <n v="2823513"/>
  </r>
  <r>
    <x v="67"/>
    <s v="SSHARN"/>
    <n v="1620238"/>
  </r>
  <r>
    <x v="67"/>
    <s v="SWALEX"/>
    <n v="0"/>
  </r>
  <r>
    <x v="68"/>
    <s v="ESTEX"/>
    <n v="0"/>
  </r>
  <r>
    <x v="68"/>
    <s v="SCOTEX"/>
    <n v="1363859"/>
  </r>
  <r>
    <x v="68"/>
    <s v="SEIMP"/>
    <n v="7666"/>
  </r>
  <r>
    <x v="68"/>
    <s v="SSE-SP"/>
    <n v="0"/>
  </r>
  <r>
    <x v="68"/>
    <s v="SSHARN"/>
    <n v="3102662"/>
  </r>
  <r>
    <x v="68"/>
    <s v="SWALEX"/>
    <n v="0"/>
  </r>
  <r>
    <x v="69"/>
    <s v="ESTEX"/>
    <n v="0"/>
  </r>
  <r>
    <x v="69"/>
    <s v="SCOTEX"/>
    <n v="0"/>
  </r>
  <r>
    <x v="69"/>
    <s v="SEIMP"/>
    <n v="2398"/>
  </r>
  <r>
    <x v="69"/>
    <s v="SSE-SP"/>
    <n v="0"/>
  </r>
  <r>
    <x v="69"/>
    <s v="SSHARN"/>
    <n v="5280348"/>
  </r>
  <r>
    <x v="69"/>
    <s v="SWALEX"/>
    <n v="0"/>
  </r>
  <r>
    <x v="70"/>
    <s v="ESTEX"/>
    <n v="38755"/>
  </r>
  <r>
    <x v="70"/>
    <s v="SCOTEX"/>
    <n v="1913595"/>
  </r>
  <r>
    <x v="70"/>
    <s v="SEIMP"/>
    <n v="0"/>
  </r>
  <r>
    <x v="70"/>
    <s v="SSE-SP"/>
    <n v="0"/>
  </r>
  <r>
    <x v="70"/>
    <s v="SSHARN"/>
    <n v="16074"/>
  </r>
  <r>
    <x v="70"/>
    <s v="SWALEX"/>
    <n v="0"/>
  </r>
  <r>
    <x v="71"/>
    <s v="ESTEX"/>
    <n v="133598"/>
  </r>
  <r>
    <x v="71"/>
    <s v="SCOTEX"/>
    <n v="3637037"/>
  </r>
  <r>
    <x v="71"/>
    <s v="SEIMP"/>
    <n v="0"/>
  </r>
  <r>
    <x v="71"/>
    <s v="SSE-SP"/>
    <n v="0"/>
  </r>
  <r>
    <x v="71"/>
    <s v="SSHARN"/>
    <n v="0"/>
  </r>
  <r>
    <x v="71"/>
    <s v="SWALEX"/>
    <n v="0"/>
  </r>
  <r>
    <x v="72"/>
    <s v="ESTEX"/>
    <n v="10381"/>
  </r>
  <r>
    <x v="72"/>
    <s v="SCOTEX"/>
    <n v="0"/>
  </r>
  <r>
    <x v="72"/>
    <s v="SEIMP"/>
    <n v="0"/>
  </r>
  <r>
    <x v="72"/>
    <s v="SSE-SP"/>
    <n v="0"/>
  </r>
  <r>
    <x v="72"/>
    <s v="SSHARN"/>
    <n v="0"/>
  </r>
  <r>
    <x v="72"/>
    <s v="SWALEX"/>
    <n v="0"/>
  </r>
  <r>
    <x v="73"/>
    <s v="ESTEX"/>
    <n v="146668"/>
  </r>
  <r>
    <x v="73"/>
    <s v="SCOTEX"/>
    <n v="0"/>
  </r>
  <r>
    <x v="73"/>
    <s v="SEIMP"/>
    <n v="0"/>
  </r>
  <r>
    <x v="73"/>
    <s v="SSE-SP"/>
    <n v="0"/>
  </r>
  <r>
    <x v="73"/>
    <s v="SSHARN"/>
    <n v="0"/>
  </r>
  <r>
    <x v="73"/>
    <s v="SWALEX"/>
    <n v="0"/>
  </r>
  <r>
    <x v="74"/>
    <s v="ESTEX"/>
    <n v="61756"/>
  </r>
  <r>
    <x v="74"/>
    <s v="SCOTEX"/>
    <n v="0"/>
  </r>
  <r>
    <x v="74"/>
    <s v="SEIMP"/>
    <n v="0"/>
  </r>
  <r>
    <x v="74"/>
    <s v="SSE-SP"/>
    <n v="0"/>
  </r>
  <r>
    <x v="74"/>
    <s v="SSHARN"/>
    <n v="0"/>
  </r>
  <r>
    <x v="74"/>
    <s v="SWALEX"/>
    <n v="0"/>
  </r>
  <r>
    <x v="75"/>
    <s v="ESTEX"/>
    <n v="0"/>
  </r>
  <r>
    <x v="75"/>
    <s v="SCOTEX"/>
    <n v="0"/>
  </r>
  <r>
    <x v="75"/>
    <s v="SEIMP"/>
    <n v="0"/>
  </r>
  <r>
    <x v="75"/>
    <s v="SSE-SP"/>
    <n v="0"/>
  </r>
  <r>
    <x v="75"/>
    <s v="SSHARN"/>
    <n v="0"/>
  </r>
  <r>
    <x v="75"/>
    <s v="SWALEX"/>
    <n v="0"/>
  </r>
  <r>
    <x v="76"/>
    <s v="ESTEX"/>
    <n v="0"/>
  </r>
  <r>
    <x v="76"/>
    <s v="SCOTEX"/>
    <n v="0"/>
  </r>
  <r>
    <x v="76"/>
    <s v="SEIMP"/>
    <n v="0"/>
  </r>
  <r>
    <x v="76"/>
    <s v="SSE-SP"/>
    <n v="0"/>
  </r>
  <r>
    <x v="76"/>
    <s v="SSHARN"/>
    <n v="0"/>
  </r>
  <r>
    <x v="76"/>
    <s v="SWALEX"/>
    <n v="0"/>
  </r>
  <r>
    <x v="77"/>
    <s v="ESTEX"/>
    <n v="0"/>
  </r>
  <r>
    <x v="77"/>
    <s v="SCOTEX"/>
    <n v="0"/>
  </r>
  <r>
    <x v="77"/>
    <s v="SEIMP"/>
    <n v="88550"/>
  </r>
  <r>
    <x v="77"/>
    <s v="SSE-SP"/>
    <n v="0"/>
  </r>
  <r>
    <x v="77"/>
    <s v="SSHARN"/>
    <n v="0"/>
  </r>
  <r>
    <x v="77"/>
    <s v="SWALEX"/>
    <n v="0"/>
  </r>
  <r>
    <x v="78"/>
    <s v="ESTEX"/>
    <n v="0"/>
  </r>
  <r>
    <x v="78"/>
    <s v="SCOTEX"/>
    <n v="0"/>
  </r>
  <r>
    <x v="78"/>
    <s v="SEIMP"/>
    <n v="0"/>
  </r>
  <r>
    <x v="78"/>
    <s v="SSE-SP"/>
    <n v="0"/>
  </r>
  <r>
    <x v="78"/>
    <s v="SSHARN"/>
    <n v="0"/>
  </r>
  <r>
    <x v="78"/>
    <s v="SWALEX"/>
    <n v="0"/>
  </r>
  <r>
    <x v="79"/>
    <s v="ESTEX"/>
    <n v="0"/>
  </r>
  <r>
    <x v="79"/>
    <s v="SCOTEX"/>
    <n v="13315"/>
  </r>
  <r>
    <x v="79"/>
    <s v="SEIMP"/>
    <n v="0"/>
  </r>
  <r>
    <x v="79"/>
    <s v="SSE-SP"/>
    <n v="0"/>
  </r>
  <r>
    <x v="79"/>
    <s v="SSHARN"/>
    <n v="0"/>
  </r>
  <r>
    <x v="79"/>
    <s v="SWALEX"/>
    <n v="0"/>
  </r>
  <r>
    <x v="80"/>
    <s v="ESTEX"/>
    <n v="101548"/>
  </r>
  <r>
    <x v="80"/>
    <s v="SCOTEX"/>
    <n v="0"/>
  </r>
  <r>
    <x v="80"/>
    <s v="SEIMP"/>
    <n v="606"/>
  </r>
  <r>
    <x v="80"/>
    <s v="SSE-SP"/>
    <n v="0"/>
  </r>
  <r>
    <x v="80"/>
    <s v="SSHARN"/>
    <n v="404418"/>
  </r>
  <r>
    <x v="80"/>
    <s v="SWALEX"/>
    <n v="0"/>
  </r>
  <r>
    <x v="81"/>
    <s v="ESTEX"/>
    <n v="0"/>
  </r>
  <r>
    <x v="81"/>
    <s v="SCOTEX"/>
    <n v="0"/>
  </r>
  <r>
    <x v="81"/>
    <s v="SEIMP"/>
    <n v="143258"/>
  </r>
  <r>
    <x v="81"/>
    <s v="SSE-SP"/>
    <n v="279815"/>
  </r>
  <r>
    <x v="81"/>
    <s v="SSHARN"/>
    <n v="0"/>
  </r>
  <r>
    <x v="81"/>
    <s v="SWALEX"/>
    <n v="0"/>
  </r>
  <r>
    <x v="82"/>
    <s v="ESTEX"/>
    <n v="6555"/>
  </r>
  <r>
    <x v="82"/>
    <s v="SCOTEX"/>
    <n v="0"/>
  </r>
  <r>
    <x v="82"/>
    <s v="SEIMP"/>
    <n v="258954"/>
  </r>
  <r>
    <x v="82"/>
    <s v="SSE-SP"/>
    <n v="0"/>
  </r>
  <r>
    <x v="82"/>
    <s v="SSHARN"/>
    <n v="3259164"/>
  </r>
  <r>
    <x v="82"/>
    <s v="SWALEX"/>
    <n v="0"/>
  </r>
  <r>
    <x v="83"/>
    <s v="ESTEX"/>
    <n v="0"/>
  </r>
  <r>
    <x v="83"/>
    <s v="SCOTEX"/>
    <n v="6708800"/>
  </r>
  <r>
    <x v="83"/>
    <s v="SEIMP"/>
    <n v="51541"/>
  </r>
  <r>
    <x v="83"/>
    <s v="SSE-SP"/>
    <n v="48949"/>
  </r>
  <r>
    <x v="83"/>
    <s v="SSHARN"/>
    <n v="0"/>
  </r>
  <r>
    <x v="83"/>
    <s v="SWALEX"/>
    <n v="0"/>
  </r>
  <r>
    <x v="84"/>
    <s v="ESTEX"/>
    <n v="175175"/>
  </r>
  <r>
    <x v="84"/>
    <s v="SCOTEX"/>
    <n v="1892677"/>
  </r>
  <r>
    <x v="84"/>
    <s v="SEIMP"/>
    <n v="0"/>
  </r>
  <r>
    <x v="84"/>
    <s v="SSE-SP"/>
    <n v="0"/>
  </r>
  <r>
    <x v="84"/>
    <s v="SSHARN"/>
    <n v="0"/>
  </r>
  <r>
    <x v="84"/>
    <s v="SWALEX"/>
    <n v="0"/>
  </r>
  <r>
    <x v="85"/>
    <s v="ESTEX"/>
    <n v="37375"/>
  </r>
  <r>
    <x v="85"/>
    <s v="SCOTEX"/>
    <n v="0"/>
  </r>
  <r>
    <x v="85"/>
    <s v="SEIMP"/>
    <n v="0"/>
  </r>
  <r>
    <x v="85"/>
    <s v="SSE-SP"/>
    <n v="0"/>
  </r>
  <r>
    <x v="85"/>
    <s v="SSHARN"/>
    <n v="1020025"/>
  </r>
  <r>
    <x v="85"/>
    <s v="SWALEX"/>
    <n v="0"/>
  </r>
  <r>
    <x v="86"/>
    <s v="ESTEX"/>
    <n v="0"/>
  </r>
  <r>
    <x v="86"/>
    <s v="SCOTEX"/>
    <n v="0"/>
  </r>
  <r>
    <x v="86"/>
    <s v="SEIMP"/>
    <n v="0"/>
  </r>
  <r>
    <x v="86"/>
    <s v="SSE-SP"/>
    <n v="0"/>
  </r>
  <r>
    <x v="86"/>
    <s v="SSHARN"/>
    <n v="1388802"/>
  </r>
  <r>
    <x v="86"/>
    <s v="SWALEX"/>
    <n v="0"/>
  </r>
  <r>
    <x v="87"/>
    <s v="ESTEX"/>
    <n v="0"/>
  </r>
  <r>
    <x v="87"/>
    <s v="SCOTEX"/>
    <n v="1144314"/>
  </r>
  <r>
    <x v="87"/>
    <s v="SEIMP"/>
    <n v="0"/>
  </r>
  <r>
    <x v="87"/>
    <s v="SSE-SP"/>
    <n v="2620368"/>
  </r>
  <r>
    <x v="87"/>
    <s v="SSHARN"/>
    <n v="57248"/>
  </r>
  <r>
    <x v="87"/>
    <s v="SWALEX"/>
    <n v="0"/>
  </r>
  <r>
    <x v="88"/>
    <s v="ESTEX"/>
    <n v="0"/>
  </r>
  <r>
    <x v="88"/>
    <s v="SCOTEX"/>
    <n v="0"/>
  </r>
  <r>
    <x v="88"/>
    <s v="SEIMP"/>
    <n v="6239"/>
  </r>
  <r>
    <x v="88"/>
    <s v="SSE-SP"/>
    <n v="0"/>
  </r>
  <r>
    <x v="88"/>
    <s v="SSHARN"/>
    <n v="0"/>
  </r>
  <r>
    <x v="88"/>
    <s v="SWALEX"/>
    <n v="0"/>
  </r>
  <r>
    <x v="89"/>
    <s v="ESTEX"/>
    <n v="0"/>
  </r>
  <r>
    <x v="89"/>
    <s v="SCOTEX"/>
    <n v="0"/>
  </r>
  <r>
    <x v="89"/>
    <s v="SEIMP"/>
    <n v="213202"/>
  </r>
  <r>
    <x v="89"/>
    <s v="SSE-SP"/>
    <n v="0"/>
  </r>
  <r>
    <x v="89"/>
    <s v="SSHARN"/>
    <n v="0"/>
  </r>
  <r>
    <x v="89"/>
    <s v="SWALEX"/>
    <n v="0"/>
  </r>
  <r>
    <x v="90"/>
    <s v="ESTEX"/>
    <n v="0"/>
  </r>
  <r>
    <x v="90"/>
    <s v="SCOTEX"/>
    <n v="0"/>
  </r>
  <r>
    <x v="90"/>
    <s v="SEIMP"/>
    <n v="428347"/>
  </r>
  <r>
    <x v="90"/>
    <s v="SSE-SP"/>
    <n v="0"/>
  </r>
  <r>
    <x v="90"/>
    <s v="SSHARN"/>
    <n v="0"/>
  </r>
  <r>
    <x v="90"/>
    <s v="SWALEX"/>
    <n v="0"/>
  </r>
  <r>
    <x v="91"/>
    <s v="ESTEX"/>
    <n v="2914"/>
  </r>
  <r>
    <x v="91"/>
    <s v="SCOTEX"/>
    <n v="0"/>
  </r>
  <r>
    <x v="91"/>
    <s v="SEIMP"/>
    <n v="81973"/>
  </r>
  <r>
    <x v="91"/>
    <s v="SSE-SP"/>
    <n v="0"/>
  </r>
  <r>
    <x v="91"/>
    <s v="SSHARN"/>
    <n v="0"/>
  </r>
  <r>
    <x v="91"/>
    <s v="SWALEX"/>
    <n v="0"/>
  </r>
  <r>
    <x v="92"/>
    <s v="ESTEX"/>
    <n v="0"/>
  </r>
  <r>
    <x v="92"/>
    <s v="SCOTEX"/>
    <n v="0"/>
  </r>
  <r>
    <x v="92"/>
    <s v="SEIMP"/>
    <n v="0"/>
  </r>
  <r>
    <x v="92"/>
    <s v="SSE-SP"/>
    <n v="0"/>
  </r>
  <r>
    <x v="92"/>
    <s v="SSHARN"/>
    <n v="0"/>
  </r>
  <r>
    <x v="92"/>
    <s v="SWALEX"/>
    <n v="0"/>
  </r>
  <r>
    <x v="93"/>
    <s v="ESTEX"/>
    <n v="170243"/>
  </r>
  <r>
    <x v="93"/>
    <s v="SCOTEX"/>
    <n v="0"/>
  </r>
  <r>
    <x v="93"/>
    <s v="SEIMP"/>
    <n v="0"/>
  </r>
  <r>
    <x v="93"/>
    <s v="SSE-SP"/>
    <n v="571642"/>
  </r>
  <r>
    <x v="93"/>
    <s v="SSHARN"/>
    <n v="0"/>
  </r>
  <r>
    <x v="93"/>
    <s v="SWALEX"/>
    <n v="0"/>
  </r>
  <r>
    <x v="94"/>
    <s v="ESTEX"/>
    <n v="0"/>
  </r>
  <r>
    <x v="94"/>
    <s v="SCOTEX"/>
    <n v="79653"/>
  </r>
  <r>
    <x v="94"/>
    <s v="SEIMP"/>
    <n v="0"/>
  </r>
  <r>
    <x v="94"/>
    <s v="SSE-SP"/>
    <n v="956639"/>
  </r>
  <r>
    <x v="94"/>
    <s v="SSHARN"/>
    <n v="0"/>
  </r>
  <r>
    <x v="94"/>
    <s v="SWALEX"/>
    <n v="0"/>
  </r>
  <r>
    <x v="95"/>
    <s v="ESTEX"/>
    <n v="0"/>
  </r>
  <r>
    <x v="95"/>
    <s v="SCOTEX"/>
    <n v="1691789"/>
  </r>
  <r>
    <x v="95"/>
    <s v="SEIMP"/>
    <n v="0"/>
  </r>
  <r>
    <x v="95"/>
    <s v="SSE-SP"/>
    <n v="1631033"/>
  </r>
  <r>
    <x v="95"/>
    <s v="SSHARN"/>
    <n v="202"/>
  </r>
  <r>
    <x v="95"/>
    <s v="SWALEX"/>
    <n v="0"/>
  </r>
  <r>
    <x v="96"/>
    <s v="ESTEX"/>
    <n v="0"/>
  </r>
  <r>
    <x v="96"/>
    <s v="SCOTEX"/>
    <n v="1156824"/>
  </r>
  <r>
    <x v="96"/>
    <s v="SEIMP"/>
    <n v="20287"/>
  </r>
  <r>
    <x v="96"/>
    <s v="SSE-SP"/>
    <n v="500290"/>
  </r>
  <r>
    <x v="96"/>
    <s v="SSHARN"/>
    <n v="3591"/>
  </r>
  <r>
    <x v="96"/>
    <s v="SWALEX"/>
    <n v="0"/>
  </r>
  <r>
    <x v="97"/>
    <s v="ESTEX"/>
    <n v="0"/>
  </r>
  <r>
    <x v="97"/>
    <s v="SCOTEX"/>
    <n v="0"/>
  </r>
  <r>
    <x v="97"/>
    <s v="SEIMP"/>
    <n v="0"/>
  </r>
  <r>
    <x v="97"/>
    <s v="SSE-SP"/>
    <n v="0"/>
  </r>
  <r>
    <x v="97"/>
    <s v="SSHARN"/>
    <n v="0"/>
  </r>
  <r>
    <x v="97"/>
    <s v="SWALEX"/>
    <n v="0"/>
  </r>
  <r>
    <x v="98"/>
    <s v="ESTEX"/>
    <n v="0"/>
  </r>
  <r>
    <x v="98"/>
    <s v="SCOTEX"/>
    <n v="736365"/>
  </r>
  <r>
    <x v="98"/>
    <s v="SEIMP"/>
    <n v="0"/>
  </r>
  <r>
    <x v="98"/>
    <s v="SSE-SP"/>
    <n v="0"/>
  </r>
  <r>
    <x v="98"/>
    <s v="SSHARN"/>
    <n v="385858"/>
  </r>
  <r>
    <x v="98"/>
    <s v="SWALEX"/>
    <n v="0"/>
  </r>
  <r>
    <x v="99"/>
    <s v="ESTEX"/>
    <n v="22157"/>
  </r>
  <r>
    <x v="99"/>
    <s v="SCOTEX"/>
    <n v="0"/>
  </r>
  <r>
    <x v="99"/>
    <s v="SEIMP"/>
    <n v="0"/>
  </r>
  <r>
    <x v="99"/>
    <s v="SSE-SP"/>
    <n v="3947"/>
  </r>
  <r>
    <x v="99"/>
    <s v="SSHARN"/>
    <n v="58001"/>
  </r>
  <r>
    <x v="99"/>
    <s v="SWALEX"/>
    <n v="0"/>
  </r>
  <r>
    <x v="100"/>
    <s v="ESTEX"/>
    <n v="0"/>
  </r>
  <r>
    <x v="100"/>
    <s v="SCOTEX"/>
    <n v="0"/>
  </r>
  <r>
    <x v="100"/>
    <s v="SEIMP"/>
    <n v="0"/>
  </r>
  <r>
    <x v="100"/>
    <s v="SSE-SP"/>
    <n v="15019"/>
  </r>
  <r>
    <x v="100"/>
    <s v="SSHARN"/>
    <n v="0"/>
  </r>
  <r>
    <x v="100"/>
    <s v="SWALEX"/>
    <n v="0"/>
  </r>
  <r>
    <x v="101"/>
    <s v="ESTEX"/>
    <n v="0"/>
  </r>
  <r>
    <x v="101"/>
    <s v="SCOTEX"/>
    <n v="355480"/>
  </r>
  <r>
    <x v="101"/>
    <s v="SEIMP"/>
    <n v="0"/>
  </r>
  <r>
    <x v="101"/>
    <s v="SSE-SP"/>
    <n v="0"/>
  </r>
  <r>
    <x v="101"/>
    <s v="SSHARN"/>
    <n v="0"/>
  </r>
  <r>
    <x v="101"/>
    <s v="SWALEX"/>
    <n v="0"/>
  </r>
  <r>
    <x v="102"/>
    <s v="ESTEX"/>
    <n v="0"/>
  </r>
  <r>
    <x v="102"/>
    <s v="SCOTEX"/>
    <n v="1071768"/>
  </r>
  <r>
    <x v="102"/>
    <s v="SEIMP"/>
    <n v="0"/>
  </r>
  <r>
    <x v="102"/>
    <s v="SSE-SP"/>
    <n v="0"/>
  </r>
  <r>
    <x v="102"/>
    <s v="SSHARN"/>
    <n v="0"/>
  </r>
  <r>
    <x v="102"/>
    <s v="SWALEX"/>
    <n v="0"/>
  </r>
  <r>
    <x v="103"/>
    <s v="ESTEX"/>
    <n v="0"/>
  </r>
  <r>
    <x v="103"/>
    <s v="SCOTEX"/>
    <n v="380180"/>
  </r>
  <r>
    <x v="103"/>
    <s v="SEIMP"/>
    <n v="293297"/>
  </r>
  <r>
    <x v="103"/>
    <s v="SSE-SP"/>
    <n v="780133"/>
  </r>
  <r>
    <x v="103"/>
    <s v="SSHARN"/>
    <n v="0"/>
  </r>
  <r>
    <x v="103"/>
    <s v="SWALEX"/>
    <n v="0"/>
  </r>
  <r>
    <x v="104"/>
    <s v="ESTEX"/>
    <n v="0"/>
  </r>
  <r>
    <x v="104"/>
    <s v="SCOTEX"/>
    <n v="0"/>
  </r>
  <r>
    <x v="104"/>
    <s v="SEIMP"/>
    <n v="18576"/>
  </r>
  <r>
    <x v="104"/>
    <s v="SSE-SP"/>
    <n v="0"/>
  </r>
  <r>
    <x v="104"/>
    <s v="SSHARN"/>
    <n v="0"/>
  </r>
  <r>
    <x v="104"/>
    <s v="SWALEX"/>
    <n v="0"/>
  </r>
  <r>
    <x v="105"/>
    <s v="ESTEX"/>
    <n v="0"/>
  </r>
  <r>
    <x v="105"/>
    <s v="SCOTEX"/>
    <n v="0"/>
  </r>
  <r>
    <x v="105"/>
    <s v="SEIMP"/>
    <n v="356016"/>
  </r>
  <r>
    <x v="105"/>
    <s v="SSE-SP"/>
    <n v="22831"/>
  </r>
  <r>
    <x v="105"/>
    <s v="SSHARN"/>
    <n v="0"/>
  </r>
  <r>
    <x v="105"/>
    <s v="SWALEX"/>
    <n v="0"/>
  </r>
  <r>
    <x v="106"/>
    <s v="ESTEX"/>
    <n v="0"/>
  </r>
  <r>
    <x v="106"/>
    <s v="SCOTEX"/>
    <n v="0"/>
  </r>
  <r>
    <x v="106"/>
    <s v="SEIMP"/>
    <n v="66628"/>
  </r>
  <r>
    <x v="106"/>
    <s v="SSE-SP"/>
    <n v="0"/>
  </r>
  <r>
    <x v="106"/>
    <s v="SSHARN"/>
    <n v="0"/>
  </r>
  <r>
    <x v="106"/>
    <s v="SWALEX"/>
    <n v="0"/>
  </r>
  <r>
    <x v="107"/>
    <s v="ESTEX"/>
    <n v="3126"/>
  </r>
  <r>
    <x v="107"/>
    <s v="SCOTEX"/>
    <n v="0"/>
  </r>
  <r>
    <x v="107"/>
    <s v="SEIMP"/>
    <n v="0"/>
  </r>
  <r>
    <x v="107"/>
    <s v="SSE-SP"/>
    <n v="0"/>
  </r>
  <r>
    <x v="107"/>
    <s v="SSHARN"/>
    <n v="0"/>
  </r>
  <r>
    <x v="107"/>
    <s v="SWALEX"/>
    <n v="0"/>
  </r>
  <r>
    <x v="108"/>
    <s v="ESTEX"/>
    <n v="0"/>
  </r>
  <r>
    <x v="108"/>
    <s v="SCOTEX"/>
    <n v="0"/>
  </r>
  <r>
    <x v="108"/>
    <s v="SEIMP"/>
    <n v="0"/>
  </r>
  <r>
    <x v="108"/>
    <s v="SSE-SP"/>
    <n v="0"/>
  </r>
  <r>
    <x v="108"/>
    <s v="SSHARN"/>
    <n v="0"/>
  </r>
  <r>
    <x v="108"/>
    <s v="SWALEX"/>
    <n v="0"/>
  </r>
  <r>
    <x v="109"/>
    <s v="ESTEX"/>
    <n v="0"/>
  </r>
  <r>
    <x v="109"/>
    <s v="SCOTEX"/>
    <n v="0"/>
  </r>
  <r>
    <x v="109"/>
    <s v="SEIMP"/>
    <n v="0"/>
  </r>
  <r>
    <x v="109"/>
    <s v="SSE-SP"/>
    <n v="0"/>
  </r>
  <r>
    <x v="109"/>
    <s v="SSHARN"/>
    <n v="0"/>
  </r>
  <r>
    <x v="109"/>
    <s v="SWALEX"/>
    <n v="0"/>
  </r>
  <r>
    <x v="110"/>
    <s v="ESTEX"/>
    <n v="0"/>
  </r>
  <r>
    <x v="110"/>
    <s v="SCOTEX"/>
    <n v="0"/>
  </r>
  <r>
    <x v="110"/>
    <s v="SEIMP"/>
    <n v="8268"/>
  </r>
  <r>
    <x v="110"/>
    <s v="SSE-SP"/>
    <n v="0"/>
  </r>
  <r>
    <x v="110"/>
    <s v="SSHARN"/>
    <n v="0"/>
  </r>
  <r>
    <x v="110"/>
    <s v="SWALEX"/>
    <n v="0"/>
  </r>
  <r>
    <x v="111"/>
    <s v="ESTEX"/>
    <n v="19340"/>
  </r>
  <r>
    <x v="111"/>
    <s v="SCOTEX"/>
    <n v="0"/>
  </r>
  <r>
    <x v="111"/>
    <s v="SEIMP"/>
    <n v="465492"/>
  </r>
  <r>
    <x v="111"/>
    <s v="SSE-SP"/>
    <n v="0"/>
  </r>
  <r>
    <x v="111"/>
    <s v="SSHARN"/>
    <n v="371810"/>
  </r>
  <r>
    <x v="111"/>
    <s v="SWALEX"/>
    <n v="0"/>
  </r>
  <r>
    <x v="112"/>
    <s v="ESTEX"/>
    <n v="0"/>
  </r>
  <r>
    <x v="112"/>
    <s v="SCOTEX"/>
    <n v="0"/>
  </r>
  <r>
    <x v="112"/>
    <s v="SEIMP"/>
    <n v="312294"/>
  </r>
  <r>
    <x v="112"/>
    <s v="SSE-SP"/>
    <n v="0"/>
  </r>
  <r>
    <x v="112"/>
    <s v="SSHARN"/>
    <n v="894700"/>
  </r>
  <r>
    <x v="112"/>
    <s v="SWALEX"/>
    <n v="0"/>
  </r>
  <r>
    <x v="113"/>
    <s v="ESTEX"/>
    <n v="0"/>
  </r>
  <r>
    <x v="113"/>
    <s v="SCOTEX"/>
    <n v="0"/>
  </r>
  <r>
    <x v="113"/>
    <s v="SEIMP"/>
    <n v="0"/>
  </r>
  <r>
    <x v="113"/>
    <s v="SSE-SP"/>
    <n v="0"/>
  </r>
  <r>
    <x v="113"/>
    <s v="SSHARN"/>
    <n v="0"/>
  </r>
  <r>
    <x v="113"/>
    <s v="SWALEX"/>
    <n v="0"/>
  </r>
  <r>
    <x v="114"/>
    <s v="ESTEX"/>
    <n v="0"/>
  </r>
  <r>
    <x v="114"/>
    <s v="SCOTEX"/>
    <n v="0"/>
  </r>
  <r>
    <x v="114"/>
    <s v="SEIMP"/>
    <n v="0"/>
  </r>
  <r>
    <x v="114"/>
    <s v="SSE-SP"/>
    <n v="0"/>
  </r>
  <r>
    <x v="114"/>
    <s v="SSHARN"/>
    <n v="0"/>
  </r>
  <r>
    <x v="114"/>
    <s v="SWALEX"/>
    <n v="0"/>
  </r>
  <r>
    <x v="115"/>
    <s v="ESTEX"/>
    <n v="0"/>
  </r>
  <r>
    <x v="115"/>
    <s v="SCOTEX"/>
    <n v="0"/>
  </r>
  <r>
    <x v="115"/>
    <s v="SEIMP"/>
    <n v="0"/>
  </r>
  <r>
    <x v="115"/>
    <s v="SSE-SP"/>
    <n v="0"/>
  </r>
  <r>
    <x v="115"/>
    <s v="SSHARN"/>
    <n v="0"/>
  </r>
  <r>
    <x v="115"/>
    <s v="SWALEX"/>
    <n v="0"/>
  </r>
  <r>
    <x v="116"/>
    <s v="ESTEX"/>
    <n v="0"/>
  </r>
  <r>
    <x v="116"/>
    <s v="SCOTEX"/>
    <n v="0"/>
  </r>
  <r>
    <x v="116"/>
    <s v="SEIMP"/>
    <n v="39599"/>
  </r>
  <r>
    <x v="116"/>
    <s v="SSE-SP"/>
    <n v="0"/>
  </r>
  <r>
    <x v="116"/>
    <s v="SSHARN"/>
    <n v="0"/>
  </r>
  <r>
    <x v="116"/>
    <s v="SWALEX"/>
    <n v="0"/>
  </r>
  <r>
    <x v="117"/>
    <s v="ESTEX"/>
    <n v="0"/>
  </r>
  <r>
    <x v="117"/>
    <s v="SCOTEX"/>
    <n v="0"/>
  </r>
  <r>
    <x v="117"/>
    <s v="SEIMP"/>
    <n v="0"/>
  </r>
  <r>
    <x v="117"/>
    <s v="SSE-SP"/>
    <n v="0"/>
  </r>
  <r>
    <x v="117"/>
    <s v="SSHARN"/>
    <n v="5950"/>
  </r>
  <r>
    <x v="117"/>
    <s v="SWALEX"/>
    <n v="0"/>
  </r>
  <r>
    <x v="118"/>
    <s v="ESTEX"/>
    <n v="0"/>
  </r>
  <r>
    <x v="118"/>
    <s v="SCOTEX"/>
    <n v="0"/>
  </r>
  <r>
    <x v="118"/>
    <s v="SEIMP"/>
    <n v="0"/>
  </r>
  <r>
    <x v="118"/>
    <s v="SSE-SP"/>
    <n v="214716"/>
  </r>
  <r>
    <x v="118"/>
    <s v="SSHARN"/>
    <n v="0"/>
  </r>
  <r>
    <x v="118"/>
    <s v="SWALEX"/>
    <n v="0"/>
  </r>
  <r>
    <x v="119"/>
    <s v="ESTEX"/>
    <n v="0"/>
  </r>
  <r>
    <x v="119"/>
    <s v="SCOTEX"/>
    <n v="411613"/>
  </r>
  <r>
    <x v="119"/>
    <s v="SEIMP"/>
    <n v="0"/>
  </r>
  <r>
    <x v="119"/>
    <s v="SSE-SP"/>
    <n v="1167691"/>
  </r>
  <r>
    <x v="119"/>
    <s v="SSHARN"/>
    <n v="0"/>
  </r>
  <r>
    <x v="119"/>
    <s v="SWALEX"/>
    <n v="0"/>
  </r>
  <r>
    <x v="120"/>
    <s v="ESTEX"/>
    <n v="0"/>
  </r>
  <r>
    <x v="120"/>
    <s v="SCOTEX"/>
    <n v="0"/>
  </r>
  <r>
    <x v="120"/>
    <s v="SEIMP"/>
    <n v="0"/>
  </r>
  <r>
    <x v="120"/>
    <s v="SSE-SP"/>
    <n v="0"/>
  </r>
  <r>
    <x v="120"/>
    <s v="SSHARN"/>
    <n v="0"/>
  </r>
  <r>
    <x v="120"/>
    <s v="SWALEX"/>
    <n v="0"/>
  </r>
  <r>
    <x v="121"/>
    <s v="ESTEX"/>
    <n v="0"/>
  </r>
  <r>
    <x v="121"/>
    <s v="SCOTEX"/>
    <n v="0"/>
  </r>
  <r>
    <x v="121"/>
    <s v="SEIMP"/>
    <n v="0"/>
  </r>
  <r>
    <x v="121"/>
    <s v="SSE-SP"/>
    <n v="0"/>
  </r>
  <r>
    <x v="121"/>
    <s v="SSHARN"/>
    <n v="0"/>
  </r>
  <r>
    <x v="121"/>
    <s v="SWALEX"/>
    <n v="0"/>
  </r>
  <r>
    <x v="122"/>
    <s v="ESTEX"/>
    <n v="0"/>
  </r>
  <r>
    <x v="122"/>
    <s v="SCOTEX"/>
    <n v="0"/>
  </r>
  <r>
    <x v="122"/>
    <s v="SEIMP"/>
    <n v="0"/>
  </r>
  <r>
    <x v="122"/>
    <s v="SSE-SP"/>
    <n v="0"/>
  </r>
  <r>
    <x v="122"/>
    <s v="SSHARN"/>
    <n v="0"/>
  </r>
  <r>
    <x v="122"/>
    <s v="SWALEX"/>
    <n v="0"/>
  </r>
  <r>
    <x v="123"/>
    <s v="ESTEX"/>
    <n v="0"/>
  </r>
  <r>
    <x v="123"/>
    <s v="SCOTEX"/>
    <n v="0"/>
  </r>
  <r>
    <x v="123"/>
    <s v="SEIMP"/>
    <n v="0"/>
  </r>
  <r>
    <x v="123"/>
    <s v="SSE-SP"/>
    <n v="0"/>
  </r>
  <r>
    <x v="123"/>
    <s v="SSHARN"/>
    <n v="0"/>
  </r>
  <r>
    <x v="123"/>
    <s v="SWALEX"/>
    <n v="0"/>
  </r>
  <r>
    <x v="124"/>
    <s v="ESTEX"/>
    <n v="0"/>
  </r>
  <r>
    <x v="124"/>
    <s v="SCOTEX"/>
    <n v="409036"/>
  </r>
  <r>
    <x v="124"/>
    <s v="SEIMP"/>
    <n v="2891"/>
  </r>
  <r>
    <x v="124"/>
    <s v="SSE-SP"/>
    <n v="0"/>
  </r>
  <r>
    <x v="124"/>
    <s v="SSHARN"/>
    <n v="0"/>
  </r>
  <r>
    <x v="124"/>
    <s v="SWALEX"/>
    <n v="0"/>
  </r>
  <r>
    <x v="125"/>
    <s v="ESTEX"/>
    <n v="0"/>
  </r>
  <r>
    <x v="125"/>
    <s v="SCOTEX"/>
    <n v="0"/>
  </r>
  <r>
    <x v="125"/>
    <s v="SEIMP"/>
    <n v="66055"/>
  </r>
  <r>
    <x v="125"/>
    <s v="SSE-SP"/>
    <n v="853933"/>
  </r>
  <r>
    <x v="125"/>
    <s v="SSHARN"/>
    <n v="1541475"/>
  </r>
  <r>
    <x v="125"/>
    <s v="SWALEX"/>
    <n v="0"/>
  </r>
  <r>
    <x v="126"/>
    <s v="ESTEX"/>
    <n v="0"/>
  </r>
  <r>
    <x v="126"/>
    <s v="SCOTEX"/>
    <n v="0"/>
  </r>
  <r>
    <x v="126"/>
    <s v="SEIMP"/>
    <n v="98452"/>
  </r>
  <r>
    <x v="126"/>
    <s v="SSE-SP"/>
    <n v="4243901"/>
  </r>
  <r>
    <x v="126"/>
    <s v="SSHARN"/>
    <n v="2543902"/>
  </r>
  <r>
    <x v="126"/>
    <s v="SWALEX"/>
    <n v="0"/>
  </r>
  <r>
    <x v="127"/>
    <s v="ESTEX"/>
    <n v="0"/>
  </r>
  <r>
    <x v="127"/>
    <s v="SCOTEX"/>
    <n v="0"/>
  </r>
  <r>
    <x v="127"/>
    <s v="SEIMP"/>
    <n v="2810"/>
  </r>
  <r>
    <x v="127"/>
    <s v="SSE-SP"/>
    <n v="607134"/>
  </r>
  <r>
    <x v="127"/>
    <s v="SSHARN"/>
    <n v="1470575"/>
  </r>
  <r>
    <x v="127"/>
    <s v="SWALEX"/>
    <n v="0"/>
  </r>
  <r>
    <x v="128"/>
    <s v="ESTEX"/>
    <n v="0"/>
  </r>
  <r>
    <x v="128"/>
    <s v="SCOTEX"/>
    <n v="0"/>
  </r>
  <r>
    <x v="128"/>
    <s v="SEIMP"/>
    <n v="0"/>
  </r>
  <r>
    <x v="128"/>
    <s v="SSE-SP"/>
    <n v="0"/>
  </r>
  <r>
    <x v="128"/>
    <s v="SSHARN"/>
    <n v="2415179"/>
  </r>
  <r>
    <x v="128"/>
    <s v="SWALEX"/>
    <n v="0"/>
  </r>
  <r>
    <x v="129"/>
    <s v="ESTEX"/>
    <n v="0"/>
  </r>
  <r>
    <x v="129"/>
    <s v="SCOTEX"/>
    <n v="83818"/>
  </r>
  <r>
    <x v="129"/>
    <s v="SEIMP"/>
    <n v="0"/>
  </r>
  <r>
    <x v="129"/>
    <s v="SSE-SP"/>
    <n v="0"/>
  </r>
  <r>
    <x v="129"/>
    <s v="SSHARN"/>
    <n v="5703083"/>
  </r>
  <r>
    <x v="129"/>
    <s v="SWALEX"/>
    <n v="0"/>
  </r>
  <r>
    <x v="130"/>
    <s v="ESTEX"/>
    <n v="0"/>
  </r>
  <r>
    <x v="130"/>
    <s v="SCOTEX"/>
    <n v="1308522"/>
  </r>
  <r>
    <x v="130"/>
    <s v="SEIMP"/>
    <n v="0"/>
  </r>
  <r>
    <x v="130"/>
    <s v="SSE-SP"/>
    <n v="1249169"/>
  </r>
  <r>
    <x v="130"/>
    <s v="SSHARN"/>
    <n v="130098"/>
  </r>
  <r>
    <x v="130"/>
    <s v="SWALEX"/>
    <n v="0"/>
  </r>
  <r>
    <x v="131"/>
    <s v="ESTEX"/>
    <n v="0"/>
  </r>
  <r>
    <x v="131"/>
    <s v="SCOTEX"/>
    <n v="1806202"/>
  </r>
  <r>
    <x v="131"/>
    <s v="SEIMP"/>
    <n v="24788"/>
  </r>
  <r>
    <x v="131"/>
    <s v="SSE-SP"/>
    <n v="1698280"/>
  </r>
  <r>
    <x v="131"/>
    <s v="SSHARN"/>
    <n v="0"/>
  </r>
  <r>
    <x v="131"/>
    <s v="SWALEX"/>
    <n v="0"/>
  </r>
  <r>
    <x v="132"/>
    <s v="ESTEX"/>
    <n v="0"/>
  </r>
  <r>
    <x v="132"/>
    <s v="SCOTEX"/>
    <n v="870643"/>
  </r>
  <r>
    <x v="132"/>
    <s v="SEIMP"/>
    <n v="10204"/>
  </r>
  <r>
    <x v="132"/>
    <s v="SSE-SP"/>
    <n v="2417689"/>
  </r>
  <r>
    <x v="132"/>
    <s v="SSHARN"/>
    <n v="0"/>
  </r>
  <r>
    <x v="132"/>
    <s v="SWALEX"/>
    <n v="0"/>
  </r>
  <r>
    <x v="133"/>
    <s v="ESTEX"/>
    <n v="0"/>
  </r>
  <r>
    <x v="133"/>
    <s v="SCOTEX"/>
    <n v="0"/>
  </r>
  <r>
    <x v="133"/>
    <s v="SEIMP"/>
    <n v="0"/>
  </r>
  <r>
    <x v="133"/>
    <s v="SSE-SP"/>
    <n v="0"/>
  </r>
  <r>
    <x v="133"/>
    <s v="SSHARN"/>
    <n v="0"/>
  </r>
  <r>
    <x v="133"/>
    <s v="SWALEX"/>
    <n v="0"/>
  </r>
  <r>
    <x v="134"/>
    <s v="ESTEX"/>
    <n v="0"/>
  </r>
  <r>
    <x v="134"/>
    <s v="SCOTEX"/>
    <n v="50253"/>
  </r>
  <r>
    <x v="134"/>
    <s v="SEIMP"/>
    <n v="0"/>
  </r>
  <r>
    <x v="134"/>
    <s v="SSE-SP"/>
    <n v="0"/>
  </r>
  <r>
    <x v="134"/>
    <s v="SSHARN"/>
    <n v="0"/>
  </r>
  <r>
    <x v="134"/>
    <s v="SWALEX"/>
    <n v="0"/>
  </r>
  <r>
    <x v="135"/>
    <s v="ESTEX"/>
    <n v="0"/>
  </r>
  <r>
    <x v="135"/>
    <s v="SCOTEX"/>
    <n v="0"/>
  </r>
  <r>
    <x v="135"/>
    <s v="SEIMP"/>
    <n v="0"/>
  </r>
  <r>
    <x v="135"/>
    <s v="SSE-SP"/>
    <n v="0"/>
  </r>
  <r>
    <x v="135"/>
    <s v="SSHARN"/>
    <n v="257449"/>
  </r>
  <r>
    <x v="135"/>
    <s v="SWALEX"/>
    <n v="0"/>
  </r>
  <r>
    <x v="136"/>
    <s v="ESTEX"/>
    <n v="0"/>
  </r>
  <r>
    <x v="136"/>
    <s v="SCOTEX"/>
    <n v="0"/>
  </r>
  <r>
    <x v="136"/>
    <s v="SEIMP"/>
    <n v="0"/>
  </r>
  <r>
    <x v="136"/>
    <s v="SSE-SP"/>
    <n v="152196"/>
  </r>
  <r>
    <x v="136"/>
    <s v="SSHARN"/>
    <n v="93828"/>
  </r>
  <r>
    <x v="136"/>
    <s v="SWALEX"/>
    <n v="0"/>
  </r>
  <r>
    <x v="137"/>
    <s v="ESTEX"/>
    <n v="0"/>
  </r>
  <r>
    <x v="137"/>
    <s v="SCOTEX"/>
    <n v="0"/>
  </r>
  <r>
    <x v="137"/>
    <s v="SEIMP"/>
    <n v="0"/>
  </r>
  <r>
    <x v="137"/>
    <s v="SSE-SP"/>
    <n v="48290"/>
  </r>
  <r>
    <x v="137"/>
    <s v="SSHARN"/>
    <n v="0"/>
  </r>
  <r>
    <x v="137"/>
    <s v="SWALEX"/>
    <n v="0"/>
  </r>
  <r>
    <x v="138"/>
    <s v="ESTEX"/>
    <n v="0"/>
  </r>
  <r>
    <x v="138"/>
    <s v="SCOTEX"/>
    <n v="0"/>
  </r>
  <r>
    <x v="138"/>
    <s v="SEIMP"/>
    <n v="0"/>
  </r>
  <r>
    <x v="138"/>
    <s v="SSE-SP"/>
    <n v="0"/>
  </r>
  <r>
    <x v="138"/>
    <s v="SSHARN"/>
    <n v="0"/>
  </r>
  <r>
    <x v="138"/>
    <s v="SWALEX"/>
    <n v="0"/>
  </r>
  <r>
    <x v="139"/>
    <s v="ESTEX"/>
    <n v="0"/>
  </r>
  <r>
    <x v="139"/>
    <s v="SCOTEX"/>
    <n v="166620"/>
  </r>
  <r>
    <x v="139"/>
    <s v="SEIMP"/>
    <n v="0"/>
  </r>
  <r>
    <x v="139"/>
    <s v="SSE-SP"/>
    <n v="799031"/>
  </r>
  <r>
    <x v="139"/>
    <s v="SSHARN"/>
    <n v="0"/>
  </r>
  <r>
    <x v="139"/>
    <s v="SWALEX"/>
    <n v="0"/>
  </r>
  <r>
    <x v="140"/>
    <s v="ESTEX"/>
    <n v="0"/>
  </r>
  <r>
    <x v="140"/>
    <s v="SCOTEX"/>
    <n v="325439"/>
  </r>
  <r>
    <x v="140"/>
    <s v="SEIMP"/>
    <n v="0"/>
  </r>
  <r>
    <x v="140"/>
    <s v="SSE-SP"/>
    <n v="663365"/>
  </r>
  <r>
    <x v="140"/>
    <s v="SSHARN"/>
    <n v="0"/>
  </r>
  <r>
    <x v="140"/>
    <s v="SWALEX"/>
    <n v="0"/>
  </r>
  <r>
    <x v="141"/>
    <s v="ESTEX"/>
    <n v="0"/>
  </r>
  <r>
    <x v="141"/>
    <s v="SCOTEX"/>
    <n v="1908499"/>
  </r>
  <r>
    <x v="141"/>
    <s v="SEIMP"/>
    <n v="0"/>
  </r>
  <r>
    <x v="141"/>
    <s v="SSE-SP"/>
    <n v="0"/>
  </r>
  <r>
    <x v="141"/>
    <s v="SSHARN"/>
    <n v="0"/>
  </r>
  <r>
    <x v="141"/>
    <s v="SWALEX"/>
    <n v="0"/>
  </r>
  <r>
    <x v="142"/>
    <s v="ESTEX"/>
    <n v="0"/>
  </r>
  <r>
    <x v="142"/>
    <s v="SCOTEX"/>
    <n v="0"/>
  </r>
  <r>
    <x v="142"/>
    <s v="SEIMP"/>
    <n v="0"/>
  </r>
  <r>
    <x v="142"/>
    <s v="SSE-SP"/>
    <n v="0"/>
  </r>
  <r>
    <x v="142"/>
    <s v="SSHARN"/>
    <n v="0"/>
  </r>
  <r>
    <x v="142"/>
    <s v="SWALEX"/>
    <n v="0"/>
  </r>
  <r>
    <x v="143"/>
    <s v="ESTEX"/>
    <n v="0"/>
  </r>
  <r>
    <x v="143"/>
    <s v="SCOTEX"/>
    <n v="0"/>
  </r>
  <r>
    <x v="143"/>
    <s v="SEIMP"/>
    <n v="0"/>
  </r>
  <r>
    <x v="143"/>
    <s v="SSE-SP"/>
    <n v="0"/>
  </r>
  <r>
    <x v="143"/>
    <s v="SSHARN"/>
    <n v="0"/>
  </r>
  <r>
    <x v="143"/>
    <s v="SWALEX"/>
    <n v="0"/>
  </r>
  <r>
    <x v="144"/>
    <s v="ESTEX"/>
    <n v="0"/>
  </r>
  <r>
    <x v="144"/>
    <s v="SCOTEX"/>
    <n v="0"/>
  </r>
  <r>
    <x v="144"/>
    <s v="SEIMP"/>
    <n v="0"/>
  </r>
  <r>
    <x v="144"/>
    <s v="SSE-SP"/>
    <n v="0"/>
  </r>
  <r>
    <x v="144"/>
    <s v="SSHARN"/>
    <n v="0"/>
  </r>
  <r>
    <x v="144"/>
    <s v="SWALEX"/>
    <n v="0"/>
  </r>
  <r>
    <x v="145"/>
    <s v="ESTEX"/>
    <n v="0"/>
  </r>
  <r>
    <x v="145"/>
    <s v="SCOTEX"/>
    <n v="0"/>
  </r>
  <r>
    <x v="145"/>
    <s v="SEIMP"/>
    <n v="0"/>
  </r>
  <r>
    <x v="145"/>
    <s v="SSE-SP"/>
    <n v="0"/>
  </r>
  <r>
    <x v="145"/>
    <s v="SSHARN"/>
    <n v="0"/>
  </r>
  <r>
    <x v="145"/>
    <s v="SWALEX"/>
    <n v="0"/>
  </r>
  <r>
    <x v="146"/>
    <s v="ESTEX"/>
    <n v="0"/>
  </r>
  <r>
    <x v="146"/>
    <s v="SCOTEX"/>
    <n v="0"/>
  </r>
  <r>
    <x v="146"/>
    <s v="SEIMP"/>
    <n v="0"/>
  </r>
  <r>
    <x v="146"/>
    <s v="SSE-SP"/>
    <n v="0"/>
  </r>
  <r>
    <x v="146"/>
    <s v="SSHARN"/>
    <n v="0"/>
  </r>
  <r>
    <x v="146"/>
    <s v="SWALEX"/>
    <n v="0"/>
  </r>
  <r>
    <x v="147"/>
    <s v="ESTEX"/>
    <n v="0"/>
  </r>
  <r>
    <x v="147"/>
    <s v="SCOTEX"/>
    <n v="0"/>
  </r>
  <r>
    <x v="147"/>
    <s v="SEIMP"/>
    <n v="0"/>
  </r>
  <r>
    <x v="147"/>
    <s v="SSE-SP"/>
    <n v="0"/>
  </r>
  <r>
    <x v="147"/>
    <s v="SSHARN"/>
    <n v="0"/>
  </r>
  <r>
    <x v="147"/>
    <s v="SWALEX"/>
    <n v="0"/>
  </r>
  <r>
    <x v="148"/>
    <s v="ESTEX"/>
    <n v="0"/>
  </r>
  <r>
    <x v="148"/>
    <s v="SCOTEX"/>
    <n v="187317"/>
  </r>
  <r>
    <x v="148"/>
    <s v="SEIMP"/>
    <n v="0"/>
  </r>
  <r>
    <x v="148"/>
    <s v="SSE-SP"/>
    <n v="0"/>
  </r>
  <r>
    <x v="148"/>
    <s v="SSHARN"/>
    <n v="0"/>
  </r>
  <r>
    <x v="148"/>
    <s v="SWALEX"/>
    <n v="0"/>
  </r>
  <r>
    <x v="149"/>
    <s v="ESTEX"/>
    <n v="0"/>
  </r>
  <r>
    <x v="149"/>
    <s v="SCOTEX"/>
    <n v="800709"/>
  </r>
  <r>
    <x v="149"/>
    <s v="SEIMP"/>
    <n v="0"/>
  </r>
  <r>
    <x v="149"/>
    <s v="SSE-SP"/>
    <n v="960362"/>
  </r>
  <r>
    <x v="149"/>
    <s v="SSHARN"/>
    <n v="0"/>
  </r>
  <r>
    <x v="149"/>
    <s v="SWALEX"/>
    <n v="0"/>
  </r>
  <r>
    <x v="150"/>
    <s v="ESTEX"/>
    <n v="0"/>
  </r>
  <r>
    <x v="150"/>
    <s v="SCOTEX"/>
    <n v="2335659"/>
  </r>
  <r>
    <x v="150"/>
    <s v="SEIMP"/>
    <n v="0"/>
  </r>
  <r>
    <x v="150"/>
    <s v="SSE-SP"/>
    <n v="2144435"/>
  </r>
  <r>
    <x v="150"/>
    <s v="SSHARN"/>
    <n v="0"/>
  </r>
  <r>
    <x v="150"/>
    <s v="SWALEX"/>
    <n v="0"/>
  </r>
  <r>
    <x v="151"/>
    <s v="ESTEX"/>
    <n v="0"/>
  </r>
  <r>
    <x v="151"/>
    <s v="SCOTEX"/>
    <n v="147660"/>
  </r>
  <r>
    <x v="151"/>
    <s v="SEIMP"/>
    <n v="0"/>
  </r>
  <r>
    <x v="151"/>
    <s v="SSE-SP"/>
    <n v="91091"/>
  </r>
  <r>
    <x v="151"/>
    <s v="SSHARN"/>
    <n v="0"/>
  </r>
  <r>
    <x v="151"/>
    <s v="SWALEX"/>
    <n v="0"/>
  </r>
  <r>
    <x v="152"/>
    <s v="ESTEX"/>
    <n v="0"/>
  </r>
  <r>
    <x v="152"/>
    <s v="SCOTEX"/>
    <n v="0"/>
  </r>
  <r>
    <x v="152"/>
    <s v="SEIMP"/>
    <n v="0"/>
  </r>
  <r>
    <x v="152"/>
    <s v="SSE-SP"/>
    <n v="0"/>
  </r>
  <r>
    <x v="152"/>
    <s v="SSHARN"/>
    <n v="0"/>
  </r>
  <r>
    <x v="152"/>
    <s v="SWALEX"/>
    <n v="0"/>
  </r>
  <r>
    <x v="153"/>
    <s v="ESTEX"/>
    <n v="0"/>
  </r>
  <r>
    <x v="153"/>
    <s v="SCOTEX"/>
    <n v="147074"/>
  </r>
  <r>
    <x v="153"/>
    <s v="SEIMP"/>
    <n v="0"/>
  </r>
  <r>
    <x v="153"/>
    <s v="SSE-SP"/>
    <n v="570195"/>
  </r>
  <r>
    <x v="153"/>
    <s v="SSHARN"/>
    <n v="0"/>
  </r>
  <r>
    <x v="153"/>
    <s v="SWALEX"/>
    <n v="0"/>
  </r>
  <r>
    <x v="154"/>
    <s v="ESTEX"/>
    <n v="0"/>
  </r>
  <r>
    <x v="154"/>
    <s v="SCOTEX"/>
    <n v="2492534"/>
  </r>
  <r>
    <x v="154"/>
    <s v="SEIMP"/>
    <n v="24141"/>
  </r>
  <r>
    <x v="154"/>
    <s v="SSE-SP"/>
    <n v="1659226"/>
  </r>
  <r>
    <x v="154"/>
    <s v="SSHARN"/>
    <n v="0"/>
  </r>
  <r>
    <x v="154"/>
    <s v="SWALEX"/>
    <n v="0"/>
  </r>
  <r>
    <x v="155"/>
    <s v="ESTEX"/>
    <n v="0"/>
  </r>
  <r>
    <x v="155"/>
    <s v="SCOTEX"/>
    <n v="291121"/>
  </r>
  <r>
    <x v="155"/>
    <s v="SEIMP"/>
    <n v="0"/>
  </r>
  <r>
    <x v="155"/>
    <s v="SSE-SP"/>
    <n v="305036"/>
  </r>
  <r>
    <x v="155"/>
    <s v="SSHARN"/>
    <n v="0"/>
  </r>
  <r>
    <x v="155"/>
    <s v="SWALEX"/>
    <n v="0"/>
  </r>
  <r>
    <x v="156"/>
    <s v="ESTEX"/>
    <n v="0"/>
  </r>
  <r>
    <x v="156"/>
    <s v="SCOTEX"/>
    <n v="836043"/>
  </r>
  <r>
    <x v="156"/>
    <s v="SEIMP"/>
    <n v="0"/>
  </r>
  <r>
    <x v="156"/>
    <s v="SSE-SP"/>
    <n v="494405"/>
  </r>
  <r>
    <x v="156"/>
    <s v="SSHARN"/>
    <n v="30483"/>
  </r>
  <r>
    <x v="156"/>
    <s v="SWALEX"/>
    <n v="0"/>
  </r>
  <r>
    <x v="157"/>
    <s v="ESTEX"/>
    <n v="0"/>
  </r>
  <r>
    <x v="157"/>
    <s v="SCOTEX"/>
    <n v="0"/>
  </r>
  <r>
    <x v="157"/>
    <s v="SEIMP"/>
    <n v="0"/>
  </r>
  <r>
    <x v="157"/>
    <s v="SSE-SP"/>
    <n v="1457810"/>
  </r>
  <r>
    <x v="157"/>
    <s v="SSHARN"/>
    <n v="370194"/>
  </r>
  <r>
    <x v="157"/>
    <s v="SWALEX"/>
    <n v="0"/>
  </r>
  <r>
    <x v="158"/>
    <s v="ESTEX"/>
    <n v="0"/>
  </r>
  <r>
    <x v="158"/>
    <s v="SCOTEX"/>
    <n v="2143697"/>
  </r>
  <r>
    <x v="158"/>
    <s v="SEIMP"/>
    <n v="0"/>
  </r>
  <r>
    <x v="158"/>
    <s v="SSE-SP"/>
    <n v="817173"/>
  </r>
  <r>
    <x v="158"/>
    <s v="SSHARN"/>
    <n v="0"/>
  </r>
  <r>
    <x v="158"/>
    <s v="SWALEX"/>
    <n v="0"/>
  </r>
  <r>
    <x v="159"/>
    <s v="ESTEX"/>
    <n v="0"/>
  </r>
  <r>
    <x v="159"/>
    <s v="SCOTEX"/>
    <n v="0"/>
  </r>
  <r>
    <x v="159"/>
    <s v="SEIMP"/>
    <n v="0"/>
  </r>
  <r>
    <x v="159"/>
    <s v="SSE-SP"/>
    <n v="1809428"/>
  </r>
  <r>
    <x v="159"/>
    <s v="SSHARN"/>
    <n v="1210456"/>
  </r>
  <r>
    <x v="159"/>
    <s v="SWALEX"/>
    <n v="0"/>
  </r>
  <r>
    <x v="160"/>
    <s v="ESTEX"/>
    <n v="0"/>
  </r>
  <r>
    <x v="160"/>
    <s v="SCOTEX"/>
    <n v="3444"/>
  </r>
  <r>
    <x v="160"/>
    <s v="SEIMP"/>
    <n v="0"/>
  </r>
  <r>
    <x v="160"/>
    <s v="SSE-SP"/>
    <n v="1189245"/>
  </r>
  <r>
    <x v="160"/>
    <s v="SSHARN"/>
    <n v="751492"/>
  </r>
  <r>
    <x v="160"/>
    <s v="SWALEX"/>
    <n v="0"/>
  </r>
  <r>
    <x v="161"/>
    <s v="ESTEX"/>
    <n v="0"/>
  </r>
  <r>
    <x v="161"/>
    <s v="SCOTEX"/>
    <n v="0"/>
  </r>
  <r>
    <x v="161"/>
    <s v="SEIMP"/>
    <n v="0"/>
  </r>
  <r>
    <x v="161"/>
    <s v="SSE-SP"/>
    <n v="0"/>
  </r>
  <r>
    <x v="161"/>
    <s v="SSHARN"/>
    <n v="0"/>
  </r>
  <r>
    <x v="161"/>
    <s v="SWALEX"/>
    <n v="0"/>
  </r>
  <r>
    <x v="162"/>
    <s v="ESTEX"/>
    <n v="0"/>
  </r>
  <r>
    <x v="162"/>
    <s v="SCOTEX"/>
    <n v="1498132"/>
  </r>
  <r>
    <x v="162"/>
    <s v="SEIMP"/>
    <n v="0"/>
  </r>
  <r>
    <x v="162"/>
    <s v="SSE-SP"/>
    <n v="1191223"/>
  </r>
  <r>
    <x v="162"/>
    <s v="SSHARN"/>
    <n v="39494"/>
  </r>
  <r>
    <x v="162"/>
    <s v="SWALEX"/>
    <n v="0"/>
  </r>
  <r>
    <x v="163"/>
    <s v="ESTEX"/>
    <n v="0"/>
  </r>
  <r>
    <x v="163"/>
    <s v="SCOTEX"/>
    <n v="1384864"/>
  </r>
  <r>
    <x v="163"/>
    <s v="SEIMP"/>
    <n v="0"/>
  </r>
  <r>
    <x v="163"/>
    <s v="SSE-SP"/>
    <n v="3147764"/>
  </r>
  <r>
    <x v="163"/>
    <s v="SSHARN"/>
    <n v="0"/>
  </r>
  <r>
    <x v="163"/>
    <s v="SWALEX"/>
    <n v="0"/>
  </r>
  <r>
    <x v="164"/>
    <s v="ESTEX"/>
    <n v="0"/>
  </r>
  <r>
    <x v="164"/>
    <s v="SCOTEX"/>
    <n v="91257"/>
  </r>
  <r>
    <x v="164"/>
    <s v="SEIMP"/>
    <n v="0"/>
  </r>
  <r>
    <x v="164"/>
    <s v="SSE-SP"/>
    <n v="458928"/>
  </r>
  <r>
    <x v="164"/>
    <s v="SSHARN"/>
    <n v="7198"/>
  </r>
  <r>
    <x v="164"/>
    <s v="SWALEX"/>
    <n v="0"/>
  </r>
  <r>
    <x v="165"/>
    <s v="ESTEX"/>
    <n v="0"/>
  </r>
  <r>
    <x v="165"/>
    <s v="SCOTEX"/>
    <n v="862355"/>
  </r>
  <r>
    <x v="165"/>
    <s v="SEIMP"/>
    <n v="0"/>
  </r>
  <r>
    <x v="165"/>
    <s v="SSE-SP"/>
    <n v="3964800"/>
  </r>
  <r>
    <x v="165"/>
    <s v="SSHARN"/>
    <n v="33199"/>
  </r>
  <r>
    <x v="165"/>
    <s v="SWALEX"/>
    <n v="0"/>
  </r>
  <r>
    <x v="166"/>
    <s v="ESTEX"/>
    <n v="0"/>
  </r>
  <r>
    <x v="166"/>
    <s v="SCOTEX"/>
    <n v="3122554"/>
  </r>
  <r>
    <x v="166"/>
    <s v="SEIMP"/>
    <n v="0"/>
  </r>
  <r>
    <x v="166"/>
    <s v="SSE-SP"/>
    <n v="2604755"/>
  </r>
  <r>
    <x v="166"/>
    <s v="SSHARN"/>
    <n v="18828"/>
  </r>
  <r>
    <x v="166"/>
    <s v="SWALEX"/>
    <n v="0"/>
  </r>
  <r>
    <x v="167"/>
    <s v="ESTEX"/>
    <n v="0"/>
  </r>
  <r>
    <x v="167"/>
    <s v="SCOTEX"/>
    <n v="130026"/>
  </r>
  <r>
    <x v="167"/>
    <s v="SEIMP"/>
    <n v="0"/>
  </r>
  <r>
    <x v="167"/>
    <s v="SSE-SP"/>
    <n v="0"/>
  </r>
  <r>
    <x v="167"/>
    <s v="SSHARN"/>
    <n v="7015743"/>
  </r>
  <r>
    <x v="167"/>
    <s v="SWALEX"/>
    <n v="0"/>
  </r>
  <r>
    <x v="168"/>
    <s v="ESTEX"/>
    <n v="0"/>
  </r>
  <r>
    <x v="168"/>
    <s v="SCOTEX"/>
    <n v="2161061"/>
  </r>
  <r>
    <x v="168"/>
    <s v="SEIMP"/>
    <n v="0"/>
  </r>
  <r>
    <x v="168"/>
    <s v="SSE-SP"/>
    <n v="1519696"/>
  </r>
  <r>
    <x v="168"/>
    <s v="SSHARN"/>
    <n v="73263"/>
  </r>
  <r>
    <x v="168"/>
    <s v="SWALEX"/>
    <n v="0"/>
  </r>
  <r>
    <x v="169"/>
    <s v="ESTEX"/>
    <n v="0"/>
  </r>
  <r>
    <x v="169"/>
    <s v="SCOTEX"/>
    <n v="64917"/>
  </r>
  <r>
    <x v="169"/>
    <s v="SEIMP"/>
    <n v="0"/>
  </r>
  <r>
    <x v="169"/>
    <s v="SSE-SP"/>
    <n v="1289505"/>
  </r>
  <r>
    <x v="169"/>
    <s v="SSHARN"/>
    <n v="0"/>
  </r>
  <r>
    <x v="169"/>
    <s v="SWALEX"/>
    <n v="0"/>
  </r>
  <r>
    <x v="170"/>
    <s v="ESTEX"/>
    <n v="0"/>
  </r>
  <r>
    <x v="170"/>
    <s v="SCOTEX"/>
    <n v="103218"/>
  </r>
  <r>
    <x v="170"/>
    <s v="SEIMP"/>
    <n v="0"/>
  </r>
  <r>
    <x v="170"/>
    <s v="SSE-SP"/>
    <n v="633531"/>
  </r>
  <r>
    <x v="170"/>
    <s v="SSHARN"/>
    <n v="0"/>
  </r>
  <r>
    <x v="170"/>
    <s v="SWALEX"/>
    <n v="0"/>
  </r>
  <r>
    <x v="171"/>
    <s v="ESTEX"/>
    <n v="0"/>
  </r>
  <r>
    <x v="171"/>
    <s v="SCOTEX"/>
    <n v="122652"/>
  </r>
  <r>
    <x v="171"/>
    <s v="SEIMP"/>
    <n v="0"/>
  </r>
  <r>
    <x v="171"/>
    <s v="SSE-SP"/>
    <n v="516205"/>
  </r>
  <r>
    <x v="171"/>
    <s v="SSHARN"/>
    <n v="0"/>
  </r>
  <r>
    <x v="171"/>
    <s v="SWALEX"/>
    <n v="0"/>
  </r>
  <r>
    <x v="172"/>
    <s v="ESTEX"/>
    <n v="0"/>
  </r>
  <r>
    <x v="172"/>
    <s v="SCOTEX"/>
    <n v="365385"/>
  </r>
  <r>
    <x v="172"/>
    <s v="SEIMP"/>
    <n v="23667"/>
  </r>
  <r>
    <x v="172"/>
    <s v="SSE-SP"/>
    <n v="1154700"/>
  </r>
  <r>
    <x v="172"/>
    <s v="SSHARN"/>
    <n v="0"/>
  </r>
  <r>
    <x v="172"/>
    <s v="SWALEX"/>
    <n v="0"/>
  </r>
  <r>
    <x v="173"/>
    <s v="ESTEX"/>
    <n v="0"/>
  </r>
  <r>
    <x v="173"/>
    <s v="SCOTEX"/>
    <n v="168809"/>
  </r>
  <r>
    <x v="173"/>
    <s v="SEIMP"/>
    <n v="8798"/>
  </r>
  <r>
    <x v="173"/>
    <s v="SSE-SP"/>
    <n v="0"/>
  </r>
  <r>
    <x v="173"/>
    <s v="SSHARN"/>
    <n v="0"/>
  </r>
  <r>
    <x v="173"/>
    <s v="SWALEX"/>
    <n v="0"/>
  </r>
  <r>
    <x v="174"/>
    <s v="ESTEX"/>
    <n v="0"/>
  </r>
  <r>
    <x v="174"/>
    <s v="SCOTEX"/>
    <n v="0"/>
  </r>
  <r>
    <x v="174"/>
    <s v="SEIMP"/>
    <n v="1813"/>
  </r>
  <r>
    <x v="174"/>
    <s v="SSE-SP"/>
    <n v="58978"/>
  </r>
  <r>
    <x v="174"/>
    <s v="SSHARN"/>
    <n v="0"/>
  </r>
  <r>
    <x v="174"/>
    <s v="SWALEX"/>
    <n v="0"/>
  </r>
  <r>
    <x v="175"/>
    <s v="ESTEX"/>
    <n v="0"/>
  </r>
  <r>
    <x v="175"/>
    <s v="SCOTEX"/>
    <n v="0"/>
  </r>
  <r>
    <x v="175"/>
    <s v="SEIMP"/>
    <n v="134574"/>
  </r>
  <r>
    <x v="175"/>
    <s v="SSE-SP"/>
    <n v="377962"/>
  </r>
  <r>
    <x v="175"/>
    <s v="SSHARN"/>
    <n v="0"/>
  </r>
  <r>
    <x v="175"/>
    <s v="SWALEX"/>
    <n v="0"/>
  </r>
  <r>
    <x v="176"/>
    <s v="ESTEX"/>
    <n v="0"/>
  </r>
  <r>
    <x v="176"/>
    <s v="SCOTEX"/>
    <n v="21962"/>
  </r>
  <r>
    <x v="176"/>
    <s v="SEIMP"/>
    <n v="91335"/>
  </r>
  <r>
    <x v="176"/>
    <s v="SSE-SP"/>
    <n v="0"/>
  </r>
  <r>
    <x v="176"/>
    <s v="SSHARN"/>
    <n v="0"/>
  </r>
  <r>
    <x v="176"/>
    <s v="SWALEX"/>
    <n v="0"/>
  </r>
  <r>
    <x v="177"/>
    <s v="ESTEX"/>
    <n v="0"/>
  </r>
  <r>
    <x v="177"/>
    <s v="SCOTEX"/>
    <n v="652427"/>
  </r>
  <r>
    <x v="177"/>
    <s v="SEIMP"/>
    <n v="0"/>
  </r>
  <r>
    <x v="177"/>
    <s v="SSE-SP"/>
    <n v="1704146"/>
  </r>
  <r>
    <x v="177"/>
    <s v="SSHARN"/>
    <n v="128802"/>
  </r>
  <r>
    <x v="177"/>
    <s v="SWALEX"/>
    <n v="0"/>
  </r>
  <r>
    <x v="178"/>
    <s v="ESTEX"/>
    <n v="0"/>
  </r>
  <r>
    <x v="178"/>
    <s v="SCOTEX"/>
    <n v="1338320"/>
  </r>
  <r>
    <x v="178"/>
    <s v="SEIMP"/>
    <n v="0"/>
  </r>
  <r>
    <x v="178"/>
    <s v="SSE-SP"/>
    <n v="2354897"/>
  </r>
  <r>
    <x v="178"/>
    <s v="SSHARN"/>
    <n v="0"/>
  </r>
  <r>
    <x v="178"/>
    <s v="SWALEX"/>
    <n v="0"/>
  </r>
  <r>
    <x v="179"/>
    <s v="ESTEX"/>
    <n v="0"/>
  </r>
  <r>
    <x v="179"/>
    <s v="SCOTEX"/>
    <n v="245316"/>
  </r>
  <r>
    <x v="179"/>
    <s v="SEIMP"/>
    <n v="0"/>
  </r>
  <r>
    <x v="179"/>
    <s v="SSE-SP"/>
    <n v="803009"/>
  </r>
  <r>
    <x v="179"/>
    <s v="SSHARN"/>
    <n v="0"/>
  </r>
  <r>
    <x v="179"/>
    <s v="SWALEX"/>
    <n v="0"/>
  </r>
  <r>
    <x v="180"/>
    <s v="ESTEX"/>
    <n v="0"/>
  </r>
  <r>
    <x v="180"/>
    <s v="SCOTEX"/>
    <n v="0"/>
  </r>
  <r>
    <x v="180"/>
    <s v="SEIMP"/>
    <n v="0"/>
  </r>
  <r>
    <x v="180"/>
    <s v="SSE-SP"/>
    <n v="0"/>
  </r>
  <r>
    <x v="180"/>
    <s v="SSHARN"/>
    <n v="178168"/>
  </r>
  <r>
    <x v="180"/>
    <s v="SWALEX"/>
    <n v="0"/>
  </r>
  <r>
    <x v="181"/>
    <s v="ESTEX"/>
    <n v="0"/>
  </r>
  <r>
    <x v="181"/>
    <s v="SCOTEX"/>
    <n v="0"/>
  </r>
  <r>
    <x v="181"/>
    <s v="SEIMP"/>
    <n v="0"/>
  </r>
  <r>
    <x v="181"/>
    <s v="SSE-SP"/>
    <n v="0"/>
  </r>
  <r>
    <x v="181"/>
    <s v="SSHARN"/>
    <n v="2054960"/>
  </r>
  <r>
    <x v="181"/>
    <s v="SWALEX"/>
    <n v="0"/>
  </r>
  <r>
    <x v="182"/>
    <s v="ESTEX"/>
    <n v="0"/>
  </r>
  <r>
    <x v="182"/>
    <s v="SCOTEX"/>
    <n v="0"/>
  </r>
  <r>
    <x v="182"/>
    <s v="SEIMP"/>
    <n v="0"/>
  </r>
  <r>
    <x v="182"/>
    <s v="SSE-SP"/>
    <n v="4064889"/>
  </r>
  <r>
    <x v="182"/>
    <s v="SSHARN"/>
    <n v="851902"/>
  </r>
  <r>
    <x v="182"/>
    <s v="SWALEX"/>
    <n v="0"/>
  </r>
  <r>
    <x v="183"/>
    <s v="ESTEX"/>
    <n v="0"/>
  </r>
  <r>
    <x v="183"/>
    <s v="SCOTEX"/>
    <n v="4457241"/>
  </r>
  <r>
    <x v="183"/>
    <s v="SEIMP"/>
    <n v="0"/>
  </r>
  <r>
    <x v="183"/>
    <s v="SSE-SP"/>
    <n v="621379"/>
  </r>
  <r>
    <x v="183"/>
    <s v="SSHARN"/>
    <n v="0"/>
  </r>
  <r>
    <x v="183"/>
    <s v="SWALEX"/>
    <n v="0"/>
  </r>
  <r>
    <x v="184"/>
    <s v="ESTEX"/>
    <n v="0"/>
  </r>
  <r>
    <x v="184"/>
    <s v="SCOTEX"/>
    <n v="3758950"/>
  </r>
  <r>
    <x v="184"/>
    <s v="SEIMP"/>
    <n v="0"/>
  </r>
  <r>
    <x v="184"/>
    <s v="SSE-SP"/>
    <n v="1610782"/>
  </r>
  <r>
    <x v="184"/>
    <s v="SSHARN"/>
    <n v="12535"/>
  </r>
  <r>
    <x v="184"/>
    <s v="SWALEX"/>
    <n v="0"/>
  </r>
  <r>
    <x v="185"/>
    <s v="ESTEX"/>
    <n v="0"/>
  </r>
  <r>
    <x v="185"/>
    <s v="SCOTEX"/>
    <n v="99644"/>
  </r>
  <r>
    <x v="185"/>
    <s v="SEIMP"/>
    <n v="0"/>
  </r>
  <r>
    <x v="185"/>
    <s v="SSE-SP"/>
    <n v="0"/>
  </r>
  <r>
    <x v="185"/>
    <s v="SSHARN"/>
    <n v="0"/>
  </r>
  <r>
    <x v="185"/>
    <s v="SWALEX"/>
    <n v="0"/>
  </r>
  <r>
    <x v="186"/>
    <s v="ESTEX"/>
    <n v="0"/>
  </r>
  <r>
    <x v="186"/>
    <s v="SCOTEX"/>
    <n v="6573789"/>
  </r>
  <r>
    <x v="186"/>
    <s v="SEIMP"/>
    <n v="0"/>
  </r>
  <r>
    <x v="186"/>
    <s v="SSE-SP"/>
    <n v="0"/>
  </r>
  <r>
    <x v="186"/>
    <s v="SSHARN"/>
    <n v="0"/>
  </r>
  <r>
    <x v="186"/>
    <s v="SWALEX"/>
    <n v="0"/>
  </r>
  <r>
    <x v="187"/>
    <s v="ESTEX"/>
    <n v="0"/>
  </r>
  <r>
    <x v="187"/>
    <s v="SCOTEX"/>
    <n v="1641292"/>
  </r>
  <r>
    <x v="187"/>
    <s v="SEIMP"/>
    <n v="0"/>
  </r>
  <r>
    <x v="187"/>
    <s v="SSE-SP"/>
    <n v="0"/>
  </r>
  <r>
    <x v="187"/>
    <s v="SSHARN"/>
    <n v="0"/>
  </r>
  <r>
    <x v="187"/>
    <s v="SWALEX"/>
    <n v="0"/>
  </r>
  <r>
    <x v="188"/>
    <s v="ESTEX"/>
    <n v="0"/>
  </r>
  <r>
    <x v="188"/>
    <s v="SCOTEX"/>
    <n v="237554"/>
  </r>
  <r>
    <x v="188"/>
    <s v="SEIMP"/>
    <n v="0"/>
  </r>
  <r>
    <x v="188"/>
    <s v="SSE-SP"/>
    <n v="0"/>
  </r>
  <r>
    <x v="188"/>
    <s v="SSHARN"/>
    <n v="0"/>
  </r>
  <r>
    <x v="188"/>
    <s v="SWALEX"/>
    <n v="0"/>
  </r>
  <r>
    <x v="189"/>
    <s v="ESTEX"/>
    <n v="0"/>
  </r>
  <r>
    <x v="189"/>
    <s v="SCOTEX"/>
    <n v="0"/>
  </r>
  <r>
    <x v="189"/>
    <s v="SEIMP"/>
    <n v="0"/>
  </r>
  <r>
    <x v="189"/>
    <s v="SSE-SP"/>
    <n v="0"/>
  </r>
  <r>
    <x v="189"/>
    <s v="SSHARN"/>
    <n v="0"/>
  </r>
  <r>
    <x v="189"/>
    <s v="SWALEX"/>
    <n v="0"/>
  </r>
  <r>
    <x v="190"/>
    <s v="ESTEX"/>
    <n v="0"/>
  </r>
  <r>
    <x v="190"/>
    <s v="SCOTEX"/>
    <n v="779345"/>
  </r>
  <r>
    <x v="190"/>
    <s v="SEIMP"/>
    <n v="26108"/>
  </r>
  <r>
    <x v="190"/>
    <s v="SSE-SP"/>
    <n v="0"/>
  </r>
  <r>
    <x v="190"/>
    <s v="SSHARN"/>
    <n v="0"/>
  </r>
  <r>
    <x v="190"/>
    <s v="SWALEX"/>
    <n v="0"/>
  </r>
  <r>
    <x v="191"/>
    <s v="ESTEX"/>
    <n v="0"/>
  </r>
  <r>
    <x v="191"/>
    <s v="SCOTEX"/>
    <n v="909897"/>
  </r>
  <r>
    <x v="191"/>
    <s v="SEIMP"/>
    <n v="0"/>
  </r>
  <r>
    <x v="191"/>
    <s v="SSE-SP"/>
    <n v="0"/>
  </r>
  <r>
    <x v="191"/>
    <s v="SSHARN"/>
    <n v="0"/>
  </r>
  <r>
    <x v="191"/>
    <s v="SWALEX"/>
    <n v="0"/>
  </r>
  <r>
    <x v="192"/>
    <s v="ESTEX"/>
    <n v="0"/>
  </r>
  <r>
    <x v="192"/>
    <s v="SCOTEX"/>
    <n v="196682"/>
  </r>
  <r>
    <x v="192"/>
    <s v="SEIMP"/>
    <n v="0"/>
  </r>
  <r>
    <x v="192"/>
    <s v="SSE-SP"/>
    <n v="2042206"/>
  </r>
  <r>
    <x v="192"/>
    <s v="SSHARN"/>
    <n v="0"/>
  </r>
  <r>
    <x v="192"/>
    <s v="SWALEX"/>
    <n v="0"/>
  </r>
  <r>
    <x v="193"/>
    <s v="ESTEX"/>
    <n v="0"/>
  </r>
  <r>
    <x v="193"/>
    <s v="SCOTEX"/>
    <n v="265307"/>
  </r>
  <r>
    <x v="193"/>
    <s v="SEIMP"/>
    <n v="0"/>
  </r>
  <r>
    <x v="193"/>
    <s v="SSE-SP"/>
    <n v="0"/>
  </r>
  <r>
    <x v="193"/>
    <s v="SSHARN"/>
    <n v="0"/>
  </r>
  <r>
    <x v="193"/>
    <s v="SWALEX"/>
    <n v="0"/>
  </r>
  <r>
    <x v="194"/>
    <s v="ESTEX"/>
    <n v="0"/>
  </r>
  <r>
    <x v="194"/>
    <s v="SCOTEX"/>
    <n v="152706"/>
  </r>
  <r>
    <x v="194"/>
    <s v="SEIMP"/>
    <n v="0"/>
  </r>
  <r>
    <x v="194"/>
    <s v="SSE-SP"/>
    <n v="0"/>
  </r>
  <r>
    <x v="194"/>
    <s v="SSHARN"/>
    <n v="0"/>
  </r>
  <r>
    <x v="194"/>
    <s v="SWALEX"/>
    <n v="0"/>
  </r>
  <r>
    <x v="195"/>
    <s v="ESTEX"/>
    <n v="0"/>
  </r>
  <r>
    <x v="195"/>
    <s v="SCOTEX"/>
    <n v="2317"/>
  </r>
  <r>
    <x v="195"/>
    <s v="SEIMP"/>
    <n v="0"/>
  </r>
  <r>
    <x v="195"/>
    <s v="SSE-SP"/>
    <n v="0"/>
  </r>
  <r>
    <x v="195"/>
    <s v="SSHARN"/>
    <n v="0"/>
  </r>
  <r>
    <x v="195"/>
    <s v="SWALEX"/>
    <n v="0"/>
  </r>
  <r>
    <x v="196"/>
    <s v="ESTEX"/>
    <n v="0"/>
  </r>
  <r>
    <x v="196"/>
    <s v="SCOTEX"/>
    <n v="0"/>
  </r>
  <r>
    <x v="196"/>
    <s v="SEIMP"/>
    <n v="0"/>
  </r>
  <r>
    <x v="196"/>
    <s v="SSE-SP"/>
    <n v="0"/>
  </r>
  <r>
    <x v="196"/>
    <s v="SSHARN"/>
    <n v="0"/>
  </r>
  <r>
    <x v="196"/>
    <s v="SWALEX"/>
    <n v="0"/>
  </r>
  <r>
    <x v="197"/>
    <s v="ESTEX"/>
    <n v="0"/>
  </r>
  <r>
    <x v="197"/>
    <s v="SCOTEX"/>
    <n v="11559"/>
  </r>
  <r>
    <x v="197"/>
    <s v="SEIMP"/>
    <n v="0"/>
  </r>
  <r>
    <x v="197"/>
    <s v="SSE-SP"/>
    <n v="1845471"/>
  </r>
  <r>
    <x v="197"/>
    <s v="SSHARN"/>
    <n v="0"/>
  </r>
  <r>
    <x v="197"/>
    <s v="SWALEX"/>
    <n v="0"/>
  </r>
  <r>
    <x v="198"/>
    <s v="ESTEX"/>
    <n v="0"/>
  </r>
  <r>
    <x v="198"/>
    <s v="SCOTEX"/>
    <n v="533078"/>
  </r>
  <r>
    <x v="198"/>
    <s v="SEIMP"/>
    <n v="0"/>
  </r>
  <r>
    <x v="198"/>
    <s v="SSE-SP"/>
    <n v="0"/>
  </r>
  <r>
    <x v="198"/>
    <s v="SSHARN"/>
    <n v="0"/>
  </r>
  <r>
    <x v="198"/>
    <s v="SWALEX"/>
    <n v="0"/>
  </r>
  <r>
    <x v="199"/>
    <s v="ESTEX"/>
    <n v="0"/>
  </r>
  <r>
    <x v="199"/>
    <s v="SCOTEX"/>
    <n v="513309"/>
  </r>
  <r>
    <x v="199"/>
    <s v="SEIMP"/>
    <n v="0"/>
  </r>
  <r>
    <x v="199"/>
    <s v="SSE-SP"/>
    <n v="0"/>
  </r>
  <r>
    <x v="199"/>
    <s v="SSHARN"/>
    <n v="60644"/>
  </r>
  <r>
    <x v="199"/>
    <s v="SWALEX"/>
    <n v="0"/>
  </r>
  <r>
    <x v="200"/>
    <s v="ESTEX"/>
    <n v="0"/>
  </r>
  <r>
    <x v="200"/>
    <s v="SCOTEX"/>
    <n v="234191"/>
  </r>
  <r>
    <x v="200"/>
    <s v="SEIMP"/>
    <n v="0"/>
  </r>
  <r>
    <x v="200"/>
    <s v="SSE-SP"/>
    <n v="0"/>
  </r>
  <r>
    <x v="200"/>
    <s v="SSHARN"/>
    <n v="0"/>
  </r>
  <r>
    <x v="200"/>
    <s v="SWALEX"/>
    <n v="0"/>
  </r>
  <r>
    <x v="201"/>
    <s v="ESTEX"/>
    <n v="0"/>
  </r>
  <r>
    <x v="201"/>
    <s v="SCOTEX"/>
    <n v="344143"/>
  </r>
  <r>
    <x v="201"/>
    <s v="SEIMP"/>
    <n v="0"/>
  </r>
  <r>
    <x v="201"/>
    <s v="SSE-SP"/>
    <n v="0"/>
  </r>
  <r>
    <x v="201"/>
    <s v="SSHARN"/>
    <n v="0"/>
  </r>
  <r>
    <x v="201"/>
    <s v="SWALEX"/>
    <n v="0"/>
  </r>
  <r>
    <x v="202"/>
    <s v="ESTEX"/>
    <n v="0"/>
  </r>
  <r>
    <x v="202"/>
    <s v="SCOTEX"/>
    <n v="341597"/>
  </r>
  <r>
    <x v="202"/>
    <s v="SEIMP"/>
    <n v="0"/>
  </r>
  <r>
    <x v="202"/>
    <s v="SSE-SP"/>
    <n v="0"/>
  </r>
  <r>
    <x v="202"/>
    <s v="SSHARN"/>
    <n v="0"/>
  </r>
  <r>
    <x v="202"/>
    <s v="SWALEX"/>
    <n v="0"/>
  </r>
  <r>
    <x v="203"/>
    <s v="ESTEX"/>
    <n v="0"/>
  </r>
  <r>
    <x v="203"/>
    <s v="SCOTEX"/>
    <n v="244099"/>
  </r>
  <r>
    <x v="203"/>
    <s v="SEIMP"/>
    <n v="0"/>
  </r>
  <r>
    <x v="203"/>
    <s v="SSE-SP"/>
    <n v="0"/>
  </r>
  <r>
    <x v="203"/>
    <s v="SSHARN"/>
    <n v="0"/>
  </r>
  <r>
    <x v="203"/>
    <s v="SWALEX"/>
    <n v="0"/>
  </r>
  <r>
    <x v="204"/>
    <s v="ESTEX"/>
    <n v="0"/>
  </r>
  <r>
    <x v="204"/>
    <s v="SCOTEX"/>
    <n v="694079"/>
  </r>
  <r>
    <x v="204"/>
    <s v="SEIMP"/>
    <n v="0"/>
  </r>
  <r>
    <x v="204"/>
    <s v="SSE-SP"/>
    <n v="0"/>
  </r>
  <r>
    <x v="204"/>
    <s v="SSHARN"/>
    <n v="0"/>
  </r>
  <r>
    <x v="204"/>
    <s v="SWALEX"/>
    <n v="0"/>
  </r>
  <r>
    <x v="205"/>
    <s v="ESTEX"/>
    <n v="0"/>
  </r>
  <r>
    <x v="205"/>
    <s v="SCOTEX"/>
    <n v="171698"/>
  </r>
  <r>
    <x v="205"/>
    <s v="SEIMP"/>
    <n v="0"/>
  </r>
  <r>
    <x v="205"/>
    <s v="SSE-SP"/>
    <n v="0"/>
  </r>
  <r>
    <x v="205"/>
    <s v="SSHARN"/>
    <n v="0"/>
  </r>
  <r>
    <x v="205"/>
    <s v="SWALEX"/>
    <n v="0"/>
  </r>
  <r>
    <x v="206"/>
    <s v="ESTEX"/>
    <n v="0"/>
  </r>
  <r>
    <x v="206"/>
    <s v="SCOTEX"/>
    <n v="30833"/>
  </r>
  <r>
    <x v="206"/>
    <s v="SEIMP"/>
    <n v="0"/>
  </r>
  <r>
    <x v="206"/>
    <s v="SSE-SP"/>
    <n v="0"/>
  </r>
  <r>
    <x v="206"/>
    <s v="SSHARN"/>
    <n v="0"/>
  </r>
  <r>
    <x v="206"/>
    <s v="SWALEX"/>
    <n v="0"/>
  </r>
  <r>
    <x v="207"/>
    <s v="ESTEX"/>
    <n v="0"/>
  </r>
  <r>
    <x v="207"/>
    <s v="SCOTEX"/>
    <n v="0"/>
  </r>
  <r>
    <x v="207"/>
    <s v="SEIMP"/>
    <n v="0"/>
  </r>
  <r>
    <x v="207"/>
    <s v="SSE-SP"/>
    <n v="0"/>
  </r>
  <r>
    <x v="207"/>
    <s v="SSHARN"/>
    <n v="0"/>
  </r>
  <r>
    <x v="207"/>
    <s v="SWALEX"/>
    <n v="0"/>
  </r>
  <r>
    <x v="208"/>
    <s v="ESTEX"/>
    <n v="0"/>
  </r>
  <r>
    <x v="208"/>
    <s v="SCOTEX"/>
    <n v="0"/>
  </r>
  <r>
    <x v="208"/>
    <s v="SEIMP"/>
    <n v="0"/>
  </r>
  <r>
    <x v="208"/>
    <s v="SSE-SP"/>
    <n v="0"/>
  </r>
  <r>
    <x v="208"/>
    <s v="SSHARN"/>
    <n v="0"/>
  </r>
  <r>
    <x v="208"/>
    <s v="SWALEX"/>
    <n v="0"/>
  </r>
  <r>
    <x v="209"/>
    <s v="ESTEX"/>
    <n v="0"/>
  </r>
  <r>
    <x v="209"/>
    <s v="SCOTEX"/>
    <n v="0"/>
  </r>
  <r>
    <x v="209"/>
    <s v="SEIMP"/>
    <n v="0"/>
  </r>
  <r>
    <x v="209"/>
    <s v="SSE-SP"/>
    <n v="0"/>
  </r>
  <r>
    <x v="209"/>
    <s v="SSHARN"/>
    <n v="0"/>
  </r>
  <r>
    <x v="209"/>
    <s v="SWALEX"/>
    <n v="0"/>
  </r>
  <r>
    <x v="210"/>
    <s v="ESTEX"/>
    <n v="0"/>
  </r>
  <r>
    <x v="210"/>
    <s v="SCOTEX"/>
    <n v="0"/>
  </r>
  <r>
    <x v="210"/>
    <s v="SEIMP"/>
    <n v="0"/>
  </r>
  <r>
    <x v="210"/>
    <s v="SSE-SP"/>
    <n v="0"/>
  </r>
  <r>
    <x v="210"/>
    <s v="SSHARN"/>
    <n v="0"/>
  </r>
  <r>
    <x v="210"/>
    <s v="SWALEX"/>
    <n v="0"/>
  </r>
  <r>
    <x v="211"/>
    <s v="ESTEX"/>
    <n v="0"/>
  </r>
  <r>
    <x v="211"/>
    <s v="SCOTEX"/>
    <n v="37216"/>
  </r>
  <r>
    <x v="211"/>
    <s v="SEIMP"/>
    <n v="0"/>
  </r>
  <r>
    <x v="211"/>
    <s v="SSE-SP"/>
    <n v="0"/>
  </r>
  <r>
    <x v="211"/>
    <s v="SSHARN"/>
    <n v="0"/>
  </r>
  <r>
    <x v="211"/>
    <s v="SWALEX"/>
    <n v="0"/>
  </r>
  <r>
    <x v="212"/>
    <s v="ESTEX"/>
    <n v="0"/>
  </r>
  <r>
    <x v="212"/>
    <s v="SCOTEX"/>
    <n v="125610"/>
  </r>
  <r>
    <x v="212"/>
    <s v="SEIMP"/>
    <n v="0"/>
  </r>
  <r>
    <x v="212"/>
    <s v="SSE-SP"/>
    <n v="0"/>
  </r>
  <r>
    <x v="212"/>
    <s v="SSHARN"/>
    <n v="0"/>
  </r>
  <r>
    <x v="212"/>
    <s v="SWALEX"/>
    <n v="0"/>
  </r>
  <r>
    <x v="213"/>
    <s v="ESTEX"/>
    <n v="0"/>
  </r>
  <r>
    <x v="213"/>
    <s v="SCOTEX"/>
    <n v="0"/>
  </r>
  <r>
    <x v="213"/>
    <s v="SEIMP"/>
    <n v="0"/>
  </r>
  <r>
    <x v="213"/>
    <s v="SSE-SP"/>
    <n v="0"/>
  </r>
  <r>
    <x v="213"/>
    <s v="SSHARN"/>
    <n v="1044556"/>
  </r>
  <r>
    <x v="213"/>
    <s v="SWALEX"/>
    <n v="0"/>
  </r>
  <r>
    <x v="214"/>
    <s v="ESTEX"/>
    <n v="13274"/>
  </r>
  <r>
    <x v="214"/>
    <s v="SCOTEX"/>
    <n v="0"/>
  </r>
  <r>
    <x v="214"/>
    <s v="SEIMP"/>
    <n v="0"/>
  </r>
  <r>
    <x v="214"/>
    <s v="SSE-SP"/>
    <n v="0"/>
  </r>
  <r>
    <x v="214"/>
    <s v="SSHARN"/>
    <n v="0"/>
  </r>
  <r>
    <x v="214"/>
    <s v="SWALEX"/>
    <n v="0"/>
  </r>
  <r>
    <x v="215"/>
    <s v="ESTEX"/>
    <n v="0"/>
  </r>
  <r>
    <x v="215"/>
    <s v="SCOTEX"/>
    <n v="0"/>
  </r>
  <r>
    <x v="215"/>
    <s v="SEIMP"/>
    <n v="0"/>
  </r>
  <r>
    <x v="215"/>
    <s v="SSE-SP"/>
    <n v="0"/>
  </r>
  <r>
    <x v="215"/>
    <s v="SSHARN"/>
    <n v="0"/>
  </r>
  <r>
    <x v="215"/>
    <s v="SWALEX"/>
    <n v="0"/>
  </r>
  <r>
    <x v="216"/>
    <s v="ESTEX"/>
    <n v="0"/>
  </r>
  <r>
    <x v="216"/>
    <s v="SCOTEX"/>
    <n v="0"/>
  </r>
  <r>
    <x v="216"/>
    <s v="SEIMP"/>
    <n v="0"/>
  </r>
  <r>
    <x v="216"/>
    <s v="SSE-SP"/>
    <n v="0"/>
  </r>
  <r>
    <x v="216"/>
    <s v="SSHARN"/>
    <n v="0"/>
  </r>
  <r>
    <x v="216"/>
    <s v="SWALEX"/>
    <n v="0"/>
  </r>
  <r>
    <x v="217"/>
    <s v="ESTEX"/>
    <n v="0"/>
  </r>
  <r>
    <x v="217"/>
    <s v="SCOTEX"/>
    <n v="0"/>
  </r>
  <r>
    <x v="217"/>
    <s v="SEIMP"/>
    <n v="0"/>
  </r>
  <r>
    <x v="217"/>
    <s v="SSE-SP"/>
    <n v="0"/>
  </r>
  <r>
    <x v="217"/>
    <s v="SSHARN"/>
    <n v="0"/>
  </r>
  <r>
    <x v="217"/>
    <s v="SWALEX"/>
    <n v="0"/>
  </r>
  <r>
    <x v="218"/>
    <s v="ESTEX"/>
    <n v="0"/>
  </r>
  <r>
    <x v="218"/>
    <s v="SCOTEX"/>
    <n v="0"/>
  </r>
  <r>
    <x v="218"/>
    <s v="SEIMP"/>
    <n v="0"/>
  </r>
  <r>
    <x v="218"/>
    <s v="SSE-SP"/>
    <n v="0"/>
  </r>
  <r>
    <x v="218"/>
    <s v="SSHARN"/>
    <n v="0"/>
  </r>
  <r>
    <x v="218"/>
    <s v="SWALEX"/>
    <n v="0"/>
  </r>
  <r>
    <x v="219"/>
    <s v="ESTEX"/>
    <n v="0"/>
  </r>
  <r>
    <x v="219"/>
    <s v="SCOTEX"/>
    <n v="3374729"/>
  </r>
  <r>
    <x v="219"/>
    <s v="SEIMP"/>
    <n v="0"/>
  </r>
  <r>
    <x v="219"/>
    <s v="SSE-SP"/>
    <n v="0"/>
  </r>
  <r>
    <x v="219"/>
    <s v="SSHARN"/>
    <n v="0"/>
  </r>
  <r>
    <x v="219"/>
    <s v="SWALEX"/>
    <n v="0"/>
  </r>
  <r>
    <x v="220"/>
    <s v="ESTEX"/>
    <n v="0"/>
  </r>
  <r>
    <x v="220"/>
    <s v="SCOTEX"/>
    <n v="2582082"/>
  </r>
  <r>
    <x v="220"/>
    <s v="SEIMP"/>
    <n v="0"/>
  </r>
  <r>
    <x v="220"/>
    <s v="SSE-SP"/>
    <n v="0"/>
  </r>
  <r>
    <x v="220"/>
    <s v="SSHARN"/>
    <n v="0"/>
  </r>
  <r>
    <x v="220"/>
    <s v="SWALEX"/>
    <n v="0"/>
  </r>
  <r>
    <x v="221"/>
    <s v="ESTEX"/>
    <n v="0"/>
  </r>
  <r>
    <x v="221"/>
    <s v="SCOTEX"/>
    <n v="884203"/>
  </r>
  <r>
    <x v="221"/>
    <s v="SEIMP"/>
    <n v="0"/>
  </r>
  <r>
    <x v="221"/>
    <s v="SSE-SP"/>
    <n v="0"/>
  </r>
  <r>
    <x v="221"/>
    <s v="SSHARN"/>
    <n v="0"/>
  </r>
  <r>
    <x v="221"/>
    <s v="SWALEX"/>
    <n v="0"/>
  </r>
  <r>
    <x v="222"/>
    <s v="ESTEX"/>
    <n v="0"/>
  </r>
  <r>
    <x v="222"/>
    <s v="SCOTEX"/>
    <n v="1200382"/>
  </r>
  <r>
    <x v="222"/>
    <s v="SEIMP"/>
    <n v="0"/>
  </r>
  <r>
    <x v="222"/>
    <s v="SSE-SP"/>
    <n v="0"/>
  </r>
  <r>
    <x v="222"/>
    <s v="SSHARN"/>
    <n v="0"/>
  </r>
  <r>
    <x v="222"/>
    <s v="SWALEX"/>
    <n v="0"/>
  </r>
  <r>
    <x v="223"/>
    <s v="ESTEX"/>
    <n v="0"/>
  </r>
  <r>
    <x v="223"/>
    <s v="SCOTEX"/>
    <n v="4234707"/>
  </r>
  <r>
    <x v="223"/>
    <s v="SEIMP"/>
    <n v="0"/>
  </r>
  <r>
    <x v="223"/>
    <s v="SSE-SP"/>
    <n v="0"/>
  </r>
  <r>
    <x v="223"/>
    <s v="SSHARN"/>
    <n v="0"/>
  </r>
  <r>
    <x v="223"/>
    <s v="SWALEX"/>
    <n v="0"/>
  </r>
  <r>
    <x v="224"/>
    <s v="ESTEX"/>
    <n v="0"/>
  </r>
  <r>
    <x v="224"/>
    <s v="SCOTEX"/>
    <n v="2335655"/>
  </r>
  <r>
    <x v="224"/>
    <s v="SEIMP"/>
    <n v="0"/>
  </r>
  <r>
    <x v="224"/>
    <s v="SSE-SP"/>
    <n v="0"/>
  </r>
  <r>
    <x v="224"/>
    <s v="SSHARN"/>
    <n v="0"/>
  </r>
  <r>
    <x v="224"/>
    <s v="SWALEX"/>
    <n v="0"/>
  </r>
  <r>
    <x v="225"/>
    <s v="ESTEX"/>
    <n v="0"/>
  </r>
  <r>
    <x v="225"/>
    <s v="SCOTEX"/>
    <n v="256374"/>
  </r>
  <r>
    <x v="225"/>
    <s v="SEIMP"/>
    <n v="0"/>
  </r>
  <r>
    <x v="225"/>
    <s v="SSE-SP"/>
    <n v="397753"/>
  </r>
  <r>
    <x v="225"/>
    <s v="SSHARN"/>
    <n v="0"/>
  </r>
  <r>
    <x v="225"/>
    <s v="SWALEX"/>
    <n v="0"/>
  </r>
  <r>
    <x v="226"/>
    <s v="ESTEX"/>
    <n v="0"/>
  </r>
  <r>
    <x v="226"/>
    <s v="SCOTEX"/>
    <n v="2423371"/>
  </r>
  <r>
    <x v="226"/>
    <s v="SEIMP"/>
    <n v="0"/>
  </r>
  <r>
    <x v="226"/>
    <s v="SSE-SP"/>
    <n v="211766"/>
  </r>
  <r>
    <x v="226"/>
    <s v="SSHARN"/>
    <n v="0"/>
  </r>
  <r>
    <x v="226"/>
    <s v="SWALEX"/>
    <n v="0"/>
  </r>
  <r>
    <x v="227"/>
    <s v="ESTEX"/>
    <n v="0"/>
  </r>
  <r>
    <x v="227"/>
    <s v="SCOTEX"/>
    <n v="1560245"/>
  </r>
  <r>
    <x v="227"/>
    <s v="SEIMP"/>
    <n v="0"/>
  </r>
  <r>
    <x v="227"/>
    <s v="SSE-SP"/>
    <n v="0"/>
  </r>
  <r>
    <x v="227"/>
    <s v="SSHARN"/>
    <n v="0"/>
  </r>
  <r>
    <x v="227"/>
    <s v="SWALEX"/>
    <n v="0"/>
  </r>
  <r>
    <x v="228"/>
    <s v="ESTEX"/>
    <n v="0"/>
  </r>
  <r>
    <x v="228"/>
    <s v="SCOTEX"/>
    <n v="1327627"/>
  </r>
  <r>
    <x v="228"/>
    <s v="SEIMP"/>
    <n v="0"/>
  </r>
  <r>
    <x v="228"/>
    <s v="SSE-SP"/>
    <n v="0"/>
  </r>
  <r>
    <x v="228"/>
    <s v="SSHARN"/>
    <n v="0"/>
  </r>
  <r>
    <x v="228"/>
    <s v="SWALEX"/>
    <n v="0"/>
  </r>
  <r>
    <x v="229"/>
    <s v="ESTEX"/>
    <n v="0"/>
  </r>
  <r>
    <x v="229"/>
    <s v="SCOTEX"/>
    <n v="592202"/>
  </r>
  <r>
    <x v="229"/>
    <s v="SEIMP"/>
    <n v="0"/>
  </r>
  <r>
    <x v="229"/>
    <s v="SSE-SP"/>
    <n v="0"/>
  </r>
  <r>
    <x v="229"/>
    <s v="SSHARN"/>
    <n v="0"/>
  </r>
  <r>
    <x v="229"/>
    <s v="SWALEX"/>
    <n v="0"/>
  </r>
  <r>
    <x v="230"/>
    <s v="ESTEX"/>
    <n v="0"/>
  </r>
  <r>
    <x v="230"/>
    <s v="SCOTEX"/>
    <n v="0"/>
  </r>
  <r>
    <x v="230"/>
    <s v="SEIMP"/>
    <n v="0"/>
  </r>
  <r>
    <x v="230"/>
    <s v="SSE-SP"/>
    <n v="1091973"/>
  </r>
  <r>
    <x v="230"/>
    <s v="SSHARN"/>
    <n v="0"/>
  </r>
  <r>
    <x v="230"/>
    <s v="SWALEX"/>
    <n v="0"/>
  </r>
  <r>
    <x v="231"/>
    <s v="ESTEX"/>
    <n v="0"/>
  </r>
  <r>
    <x v="231"/>
    <s v="SCOTEX"/>
    <n v="0"/>
  </r>
  <r>
    <x v="231"/>
    <s v="SEIMP"/>
    <n v="0"/>
  </r>
  <r>
    <x v="231"/>
    <s v="SSE-SP"/>
    <n v="0"/>
  </r>
  <r>
    <x v="231"/>
    <s v="SSHARN"/>
    <n v="0"/>
  </r>
  <r>
    <x v="231"/>
    <s v="SWALEX"/>
    <n v="0"/>
  </r>
  <r>
    <x v="232"/>
    <s v="ESTEX"/>
    <n v="0"/>
  </r>
  <r>
    <x v="232"/>
    <s v="SCOTEX"/>
    <n v="0"/>
  </r>
  <r>
    <x v="232"/>
    <s v="SEIMP"/>
    <n v="0"/>
  </r>
  <r>
    <x v="232"/>
    <s v="SSE-SP"/>
    <n v="0"/>
  </r>
  <r>
    <x v="232"/>
    <s v="SSHARN"/>
    <n v="0"/>
  </r>
  <r>
    <x v="232"/>
    <s v="SWALEX"/>
    <n v="0"/>
  </r>
  <r>
    <x v="233"/>
    <s v="ESTEX"/>
    <n v="0"/>
  </r>
  <r>
    <x v="233"/>
    <s v="SCOTEX"/>
    <n v="0"/>
  </r>
  <r>
    <x v="233"/>
    <s v="SEIMP"/>
    <n v="0"/>
  </r>
  <r>
    <x v="233"/>
    <s v="SSE-SP"/>
    <n v="0"/>
  </r>
  <r>
    <x v="233"/>
    <s v="SSHARN"/>
    <n v="0"/>
  </r>
  <r>
    <x v="233"/>
    <s v="SWALEX"/>
    <n v="0"/>
  </r>
  <r>
    <x v="234"/>
    <s v="ESTEX"/>
    <n v="0"/>
  </r>
  <r>
    <x v="234"/>
    <s v="SCOTEX"/>
    <n v="372223"/>
  </r>
  <r>
    <x v="234"/>
    <s v="SEIMP"/>
    <n v="0"/>
  </r>
  <r>
    <x v="234"/>
    <s v="SSE-SP"/>
    <n v="0"/>
  </r>
  <r>
    <x v="234"/>
    <s v="SSHARN"/>
    <n v="0"/>
  </r>
  <r>
    <x v="234"/>
    <s v="SWALEX"/>
    <n v="0"/>
  </r>
  <r>
    <x v="235"/>
    <s v="ESTEX"/>
    <n v="0"/>
  </r>
  <r>
    <x v="235"/>
    <s v="SCOTEX"/>
    <n v="0"/>
  </r>
  <r>
    <x v="235"/>
    <s v="SEIMP"/>
    <n v="0"/>
  </r>
  <r>
    <x v="235"/>
    <s v="SSE-SP"/>
    <n v="2102716"/>
  </r>
  <r>
    <x v="235"/>
    <s v="SSHARN"/>
    <n v="0"/>
  </r>
  <r>
    <x v="235"/>
    <s v="SWALEX"/>
    <n v="0"/>
  </r>
  <r>
    <x v="236"/>
    <s v="ESTEX"/>
    <n v="0"/>
  </r>
  <r>
    <x v="236"/>
    <s v="SCOTEX"/>
    <n v="861016"/>
  </r>
  <r>
    <x v="236"/>
    <s v="SEIMP"/>
    <n v="0"/>
  </r>
  <r>
    <x v="236"/>
    <s v="SSE-SP"/>
    <n v="1212638"/>
  </r>
  <r>
    <x v="236"/>
    <s v="SSHARN"/>
    <n v="0"/>
  </r>
  <r>
    <x v="236"/>
    <s v="SWALEX"/>
    <n v="0"/>
  </r>
  <r>
    <x v="237"/>
    <s v="ESTEX"/>
    <n v="0"/>
  </r>
  <r>
    <x v="237"/>
    <s v="SCOTEX"/>
    <n v="0"/>
  </r>
  <r>
    <x v="237"/>
    <s v="SEIMP"/>
    <n v="0"/>
  </r>
  <r>
    <x v="237"/>
    <s v="SSE-SP"/>
    <n v="137065"/>
  </r>
  <r>
    <x v="237"/>
    <s v="SSHARN"/>
    <n v="0"/>
  </r>
  <r>
    <x v="237"/>
    <s v="SWALEX"/>
    <n v="0"/>
  </r>
  <r>
    <x v="238"/>
    <s v="ESTEX"/>
    <n v="0"/>
  </r>
  <r>
    <x v="238"/>
    <s v="SCOTEX"/>
    <n v="0"/>
  </r>
  <r>
    <x v="238"/>
    <s v="SEIMP"/>
    <n v="0"/>
  </r>
  <r>
    <x v="238"/>
    <s v="SSE-SP"/>
    <n v="0"/>
  </r>
  <r>
    <x v="238"/>
    <s v="SSHARN"/>
    <n v="0"/>
  </r>
  <r>
    <x v="238"/>
    <s v="SWALEX"/>
    <n v="0"/>
  </r>
  <r>
    <x v="239"/>
    <s v="ESTEX"/>
    <n v="0"/>
  </r>
  <r>
    <x v="239"/>
    <s v="SCOTEX"/>
    <n v="0"/>
  </r>
  <r>
    <x v="239"/>
    <s v="SEIMP"/>
    <n v="0"/>
  </r>
  <r>
    <x v="239"/>
    <s v="SSE-SP"/>
    <n v="0"/>
  </r>
  <r>
    <x v="239"/>
    <s v="SSHARN"/>
    <n v="0"/>
  </r>
  <r>
    <x v="239"/>
    <s v="SWALEX"/>
    <n v="0"/>
  </r>
  <r>
    <x v="240"/>
    <s v="ESTEX"/>
    <n v="0"/>
  </r>
  <r>
    <x v="240"/>
    <s v="SCOTEX"/>
    <n v="10276"/>
  </r>
  <r>
    <x v="240"/>
    <s v="SEIMP"/>
    <n v="0"/>
  </r>
  <r>
    <x v="240"/>
    <s v="SSE-SP"/>
    <n v="653229"/>
  </r>
  <r>
    <x v="240"/>
    <s v="SSHARN"/>
    <n v="0"/>
  </r>
  <r>
    <x v="240"/>
    <s v="SWALEX"/>
    <n v="0"/>
  </r>
  <r>
    <x v="241"/>
    <s v="ESTEX"/>
    <n v="0"/>
  </r>
  <r>
    <x v="241"/>
    <s v="SCOTEX"/>
    <n v="0"/>
  </r>
  <r>
    <x v="241"/>
    <s v="SEIMP"/>
    <n v="0"/>
  </r>
  <r>
    <x v="241"/>
    <s v="SSE-SP"/>
    <n v="0"/>
  </r>
  <r>
    <x v="241"/>
    <s v="SSHARN"/>
    <n v="0"/>
  </r>
  <r>
    <x v="241"/>
    <s v="SWALEX"/>
    <n v="0"/>
  </r>
  <r>
    <x v="242"/>
    <s v="ESTEX"/>
    <n v="0"/>
  </r>
  <r>
    <x v="242"/>
    <s v="SCOTEX"/>
    <n v="0"/>
  </r>
  <r>
    <x v="242"/>
    <s v="SEIMP"/>
    <n v="0"/>
  </r>
  <r>
    <x v="242"/>
    <s v="SSE-SP"/>
    <n v="0"/>
  </r>
  <r>
    <x v="242"/>
    <s v="SSHARN"/>
    <n v="0"/>
  </r>
  <r>
    <x v="242"/>
    <s v="SWALEX"/>
    <n v="0"/>
  </r>
  <r>
    <x v="243"/>
    <s v="ESTEX"/>
    <n v="0"/>
  </r>
  <r>
    <x v="243"/>
    <s v="SCOTEX"/>
    <n v="0"/>
  </r>
  <r>
    <x v="243"/>
    <s v="SEIMP"/>
    <n v="0"/>
  </r>
  <r>
    <x v="243"/>
    <s v="SSE-SP"/>
    <n v="0"/>
  </r>
  <r>
    <x v="243"/>
    <s v="SSHARN"/>
    <n v="0"/>
  </r>
  <r>
    <x v="243"/>
    <s v="SWALEX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13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showHeaders="0" outline="1" outlineData="1" multipleFieldFilters="0">
  <location ref="A1:A244" firstHeaderRow="0" firstDataRow="0" firstDataCol="1"/>
  <pivotFields count="3">
    <pivotField axis="axisRow" numFmtId="14"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m="1" x="269"/>
        <item m="1" x="291"/>
        <item m="1" x="260"/>
        <item m="1" x="282"/>
        <item m="1" x="251"/>
        <item m="1" x="274"/>
        <item m="1" x="244"/>
        <item m="1" x="266"/>
        <item m="1" x="288"/>
        <item m="1" x="257"/>
        <item m="1" x="279"/>
        <item m="1" x="249"/>
        <item m="1" x="272"/>
        <item m="1" x="294"/>
        <item m="1" x="264"/>
        <item m="1" x="286"/>
        <item m="1" x="255"/>
        <item m="1" x="278"/>
        <item m="1" x="248"/>
        <item m="1" x="271"/>
        <item m="1" x="293"/>
        <item m="1" x="262"/>
        <item m="1" x="284"/>
        <item m="1" x="253"/>
        <item m="1" x="276"/>
        <item m="1" x="246"/>
        <item m="1" x="268"/>
        <item m="1" x="290"/>
        <item m="1" x="259"/>
        <item m="1" x="281"/>
        <item m="1" x="263"/>
        <item m="1" x="285"/>
        <item m="1" x="254"/>
        <item m="1" x="277"/>
        <item m="1" x="247"/>
        <item m="1" x="270"/>
        <item m="1" x="292"/>
        <item m="1" x="261"/>
        <item m="1" x="283"/>
        <item m="1" x="252"/>
        <item m="1" x="275"/>
        <item m="1" x="245"/>
        <item m="1" x="267"/>
        <item m="1" x="289"/>
        <item m="1" x="258"/>
        <item m="1" x="280"/>
        <item m="1" x="250"/>
        <item m="1" x="273"/>
        <item m="1" x="295"/>
        <item m="1" x="265"/>
        <item m="1" x="287"/>
        <item m="1" x="256"/>
        <item t="default"/>
      </items>
    </pivotField>
    <pivotField showAll="0"/>
    <pivotField showAll="0"/>
  </pivotFields>
  <rowFields count="1">
    <field x="0"/>
  </rowFields>
  <rowItems count="2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</rowItems>
  <colItems count="1">
    <i/>
  </colItem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sts" displayName="Costs" ref="A1:C22" totalsRowShown="0" headerRowDxfId="2">
  <autoFilter ref="A1:C22" xr:uid="{00000000-0009-0000-0100-000001000000}"/>
  <tableColumns count="3">
    <tableColumn id="1" xr3:uid="{00000000-0010-0000-0000-000001000000}" name="Settlement Date" dataDxfId="1"/>
    <tableColumn id="2" xr3:uid="{00000000-0010-0000-0000-000002000000}" name="Constraint Group"/>
    <tableColumn id="3" xr3:uid="{00000000-0010-0000-0000-000003000000}" name="Daily Cost (GBP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22"/>
  <sheetViews>
    <sheetView topLeftCell="A1453" workbookViewId="0">
      <selection activeCell="F1473" sqref="F1473"/>
    </sheetView>
  </sheetViews>
  <sheetFormatPr defaultRowHeight="15" x14ac:dyDescent="0.25"/>
  <cols>
    <col min="1" max="1" width="17.7109375" customWidth="1"/>
    <col min="2" max="2" width="18.140625" customWidth="1"/>
    <col min="3" max="3" width="17.28515625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1">
        <v>43678</v>
      </c>
      <c r="B2" t="s">
        <v>3</v>
      </c>
      <c r="C2" s="2">
        <v>45479</v>
      </c>
    </row>
    <row r="3" spans="1:3" x14ac:dyDescent="0.25">
      <c r="A3" s="1">
        <v>43678</v>
      </c>
      <c r="B3" t="s">
        <v>4</v>
      </c>
      <c r="C3">
        <v>0</v>
      </c>
    </row>
    <row r="4" spans="1:3" x14ac:dyDescent="0.25">
      <c r="A4" s="1">
        <v>43678</v>
      </c>
      <c r="B4" t="s">
        <v>5</v>
      </c>
      <c r="C4">
        <v>0</v>
      </c>
    </row>
    <row r="5" spans="1:3" x14ac:dyDescent="0.25">
      <c r="A5" s="1">
        <v>43678</v>
      </c>
      <c r="B5" t="s">
        <v>6</v>
      </c>
      <c r="C5" s="2">
        <v>2077</v>
      </c>
    </row>
    <row r="6" spans="1:3" x14ac:dyDescent="0.25">
      <c r="A6" s="1">
        <v>43678</v>
      </c>
      <c r="B6" t="s">
        <v>7</v>
      </c>
      <c r="C6">
        <v>0</v>
      </c>
    </row>
    <row r="7" spans="1:3" x14ac:dyDescent="0.25">
      <c r="A7" s="1">
        <v>43678</v>
      </c>
      <c r="B7" t="s">
        <v>8</v>
      </c>
      <c r="C7">
        <v>0</v>
      </c>
    </row>
    <row r="8" spans="1:3" x14ac:dyDescent="0.25">
      <c r="A8" s="1">
        <v>43679</v>
      </c>
      <c r="B8" t="s">
        <v>3</v>
      </c>
      <c r="C8" s="2">
        <v>659500</v>
      </c>
    </row>
    <row r="9" spans="1:3" x14ac:dyDescent="0.25">
      <c r="A9" s="1">
        <v>43679</v>
      </c>
      <c r="B9" t="s">
        <v>4</v>
      </c>
      <c r="C9">
        <v>0</v>
      </c>
    </row>
    <row r="10" spans="1:3" x14ac:dyDescent="0.25">
      <c r="A10" s="1">
        <v>43679</v>
      </c>
      <c r="B10" t="s">
        <v>5</v>
      </c>
      <c r="C10">
        <v>0</v>
      </c>
    </row>
    <row r="11" spans="1:3" x14ac:dyDescent="0.25">
      <c r="A11" s="1">
        <v>43679</v>
      </c>
      <c r="B11" t="s">
        <v>6</v>
      </c>
      <c r="C11">
        <v>0</v>
      </c>
    </row>
    <row r="12" spans="1:3" x14ac:dyDescent="0.25">
      <c r="A12" s="1">
        <v>43679</v>
      </c>
      <c r="B12" t="s">
        <v>7</v>
      </c>
      <c r="C12">
        <v>0</v>
      </c>
    </row>
    <row r="13" spans="1:3" x14ac:dyDescent="0.25">
      <c r="A13" s="1">
        <v>43679</v>
      </c>
      <c r="B13" t="s">
        <v>8</v>
      </c>
      <c r="C13">
        <v>0</v>
      </c>
    </row>
    <row r="14" spans="1:3" x14ac:dyDescent="0.25">
      <c r="A14" s="1">
        <v>43680</v>
      </c>
      <c r="B14" t="s">
        <v>3</v>
      </c>
      <c r="C14" s="2">
        <v>316812</v>
      </c>
    </row>
    <row r="15" spans="1:3" x14ac:dyDescent="0.25">
      <c r="A15" s="1">
        <v>43680</v>
      </c>
      <c r="B15" t="s">
        <v>4</v>
      </c>
      <c r="C15">
        <v>0</v>
      </c>
    </row>
    <row r="16" spans="1:3" x14ac:dyDescent="0.25">
      <c r="A16" s="1">
        <v>43680</v>
      </c>
      <c r="B16" t="s">
        <v>5</v>
      </c>
      <c r="C16">
        <v>0</v>
      </c>
    </row>
    <row r="17" spans="1:3" x14ac:dyDescent="0.25">
      <c r="A17" s="1">
        <v>43680</v>
      </c>
      <c r="B17" t="s">
        <v>6</v>
      </c>
      <c r="C17">
        <v>0</v>
      </c>
    </row>
    <row r="18" spans="1:3" x14ac:dyDescent="0.25">
      <c r="A18" s="1">
        <v>43680</v>
      </c>
      <c r="B18" t="s">
        <v>7</v>
      </c>
      <c r="C18">
        <v>0</v>
      </c>
    </row>
    <row r="19" spans="1:3" x14ac:dyDescent="0.25">
      <c r="A19" s="1">
        <v>43680</v>
      </c>
      <c r="B19" t="s">
        <v>8</v>
      </c>
      <c r="C19">
        <v>0</v>
      </c>
    </row>
    <row r="20" spans="1:3" x14ac:dyDescent="0.25">
      <c r="A20" s="1">
        <v>43777</v>
      </c>
      <c r="B20" t="s">
        <v>8</v>
      </c>
      <c r="C20" s="2">
        <v>0</v>
      </c>
    </row>
    <row r="21" spans="1:3" x14ac:dyDescent="0.25">
      <c r="A21" s="1">
        <v>43778</v>
      </c>
      <c r="B21" t="s">
        <v>3</v>
      </c>
      <c r="C21" s="2">
        <v>0</v>
      </c>
    </row>
    <row r="22" spans="1:3" x14ac:dyDescent="0.25">
      <c r="A22" s="1">
        <v>43778</v>
      </c>
      <c r="B22" t="s">
        <v>4</v>
      </c>
      <c r="C22" s="2">
        <v>0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U33"/>
  <sheetViews>
    <sheetView showGridLines="0" showRowColHeaders="0" tabSelected="1" workbookViewId="0">
      <selection activeCell="B4" sqref="B4:C4"/>
    </sheetView>
  </sheetViews>
  <sheetFormatPr defaultColWidth="0" defaultRowHeight="15" zeroHeight="1" x14ac:dyDescent="0.25"/>
  <cols>
    <col min="1" max="1" width="2.140625" customWidth="1"/>
    <col min="2" max="2" width="9.140625" customWidth="1"/>
    <col min="3" max="3" width="13.28515625" customWidth="1"/>
    <col min="4" max="4" width="2.140625" customWidth="1"/>
    <col min="5" max="17" width="9.140625" customWidth="1"/>
    <col min="18" max="18" width="2.140625" customWidth="1"/>
    <col min="19" max="20" width="9.140625" customWidth="1"/>
    <col min="21" max="21" width="2.140625" customWidth="1"/>
    <col min="22" max="16384" width="9.140625" hidden="1"/>
  </cols>
  <sheetData>
    <row r="1" spans="1:2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5">
      <c r="A3" s="4"/>
      <c r="B3" s="8" t="s">
        <v>9</v>
      </c>
      <c r="C3" s="8"/>
      <c r="D3" s="6"/>
      <c r="E3" s="4" t="s">
        <v>3</v>
      </c>
      <c r="F3" s="5">
        <f t="array" ref="F3">INDEX(Costs[Daily Cost (GBP)],MATCH(1,(Map!$B$4=Costs[Settlement Date])*(Map!$E3=Costs[Constraint Group]),0))</f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9">
        <v>43918</v>
      </c>
      <c r="C4" s="9"/>
      <c r="D4" s="6"/>
      <c r="E4" s="4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 t="s">
        <v>4</v>
      </c>
      <c r="F5" s="5">
        <f t="array" ref="F5">INDEX(Costs[Daily Cost (GBP)],MATCH(1,(Map!$B$4=Costs[Settlement Date])*(Map!$E5=Costs[Constraint Group]),0))</f>
        <v>10276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 t="s">
        <v>5</v>
      </c>
      <c r="F6" s="5">
        <f t="array" ref="F6">INDEX(Costs[Daily Cost (GBP)],MATCH(1,(Map!$B$4=Costs[Settlement Date])*(Map!$E6=Costs[Constraint Group]),0))</f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10" t="s">
        <v>10</v>
      </c>
      <c r="C7" s="11"/>
      <c r="D7" s="4"/>
      <c r="E7" s="4" t="s">
        <v>6</v>
      </c>
      <c r="F7" s="5">
        <f t="array" ref="F7">INDEX(Costs[Daily Cost (GBP)],MATCH(1,(Map!$B$4=Costs[Settlement Date])*(Map!$E7=Costs[Constraint Group]),0))</f>
        <v>653229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11"/>
      <c r="C8" s="11"/>
      <c r="D8" s="4"/>
      <c r="E8" s="4" t="s">
        <v>7</v>
      </c>
      <c r="F8" s="5">
        <f t="array" ref="F8">INDEX(Costs[Daily Cost (GBP)],MATCH(1,(Map!$B$4=Costs[Settlement Date])*(Map!$E8=Costs[Constraint Group]),0))</f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11"/>
      <c r="C9" s="11"/>
      <c r="D9" s="4"/>
      <c r="E9" s="4" t="s">
        <v>8</v>
      </c>
      <c r="F9" s="5">
        <f t="array" ref="F9">INDEX(Costs[Daily Cost (GBP)],MATCH(1,(Map!$B$4=Costs[Settlement Date])*(Map!$E9=Costs[Constraint Group]),0))</f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11"/>
      <c r="C10" s="1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11"/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idden="1" x14ac:dyDescent="0.25"/>
    <row r="29" spans="1:21" hidden="1" x14ac:dyDescent="0.25"/>
    <row r="30" spans="1:21" hidden="1" x14ac:dyDescent="0.25"/>
    <row r="31" spans="1:21" hidden="1" x14ac:dyDescent="0.25"/>
    <row r="32" spans="1:21" hidden="1" x14ac:dyDescent="0.25"/>
    <row r="33" hidden="1" x14ac:dyDescent="0.25"/>
  </sheetData>
  <mergeCells count="3">
    <mergeCell ref="B3:C3"/>
    <mergeCell ref="B4:C4"/>
    <mergeCell ref="B7:C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Dates!$A:$A</xm:f>
          </x14:formula1>
          <xm:sqref>B4:C4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U84"/>
  <sheetViews>
    <sheetView showGridLines="0" showRowColHeaders="0" workbookViewId="0">
      <selection activeCell="P1" sqref="P1"/>
    </sheetView>
  </sheetViews>
  <sheetFormatPr defaultColWidth="0" defaultRowHeight="15" zeroHeight="1" x14ac:dyDescent="0.25"/>
  <cols>
    <col min="1" max="21" width="9.140625" customWidth="1"/>
    <col min="22" max="16384" width="9.140625" hidden="1"/>
  </cols>
  <sheetData>
    <row r="1" spans="21:21" x14ac:dyDescent="0.25">
      <c r="U1" s="12"/>
    </row>
    <row r="2" spans="21:21" x14ac:dyDescent="0.25">
      <c r="U2" s="12"/>
    </row>
    <row r="3" spans="21:21" x14ac:dyDescent="0.25">
      <c r="U3" s="12"/>
    </row>
    <row r="4" spans="21:21" x14ac:dyDescent="0.25">
      <c r="U4" s="12"/>
    </row>
    <row r="5" spans="21:21" x14ac:dyDescent="0.25">
      <c r="U5" s="12"/>
    </row>
    <row r="6" spans="21:21" x14ac:dyDescent="0.25">
      <c r="U6" s="12"/>
    </row>
    <row r="7" spans="21:21" x14ac:dyDescent="0.25">
      <c r="U7" s="12"/>
    </row>
    <row r="8" spans="21:21" x14ac:dyDescent="0.25">
      <c r="U8" s="12"/>
    </row>
    <row r="9" spans="21:21" x14ac:dyDescent="0.25">
      <c r="U9" s="12"/>
    </row>
    <row r="10" spans="21:21" x14ac:dyDescent="0.25">
      <c r="U10" s="12"/>
    </row>
    <row r="11" spans="21:21" x14ac:dyDescent="0.25">
      <c r="U11" s="12"/>
    </row>
    <row r="12" spans="21:21" x14ac:dyDescent="0.25">
      <c r="U12" s="12"/>
    </row>
    <row r="13" spans="21:21" x14ac:dyDescent="0.25">
      <c r="U13" s="12"/>
    </row>
    <row r="14" spans="21:21" x14ac:dyDescent="0.25">
      <c r="U14" s="12"/>
    </row>
    <row r="15" spans="21:21" x14ac:dyDescent="0.25">
      <c r="U15" s="12"/>
    </row>
    <row r="16" spans="21:21" x14ac:dyDescent="0.25">
      <c r="U16" s="12"/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</sheetData>
  <mergeCells count="1">
    <mergeCell ref="U1:U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U1:XFC86"/>
  <sheetViews>
    <sheetView showGridLines="0" showRowColHeaders="0" workbookViewId="0">
      <selection activeCell="Q16" sqref="Q16"/>
    </sheetView>
  </sheetViews>
  <sheetFormatPr defaultColWidth="0" defaultRowHeight="15" zeroHeight="1" x14ac:dyDescent="0.25"/>
  <cols>
    <col min="1" max="20" width="9.140625" customWidth="1"/>
    <col min="21" max="16383" width="9.140625" hidden="1"/>
    <col min="16384" max="16384" width="6.2851562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244"/>
  <sheetViews>
    <sheetView topLeftCell="A244" workbookViewId="0">
      <selection activeCell="A274" sqref="A274"/>
    </sheetView>
  </sheetViews>
  <sheetFormatPr defaultRowHeight="15" x14ac:dyDescent="0.25"/>
  <cols>
    <col min="1" max="1" width="10.7109375" customWidth="1"/>
  </cols>
  <sheetData>
    <row r="1" spans="1:1" x14ac:dyDescent="0.25">
      <c r="A1" s="3">
        <v>43678</v>
      </c>
    </row>
    <row r="2" spans="1:1" x14ac:dyDescent="0.25">
      <c r="A2" s="3">
        <v>43679</v>
      </c>
    </row>
    <row r="3" spans="1:1" x14ac:dyDescent="0.25">
      <c r="A3" s="3">
        <v>43680</v>
      </c>
    </row>
    <row r="4" spans="1:1" x14ac:dyDescent="0.25">
      <c r="A4" s="3">
        <v>43681</v>
      </c>
    </row>
    <row r="5" spans="1:1" x14ac:dyDescent="0.25">
      <c r="A5" s="3">
        <v>43682</v>
      </c>
    </row>
    <row r="6" spans="1:1" x14ac:dyDescent="0.25">
      <c r="A6" s="3">
        <v>43683</v>
      </c>
    </row>
    <row r="7" spans="1:1" x14ac:dyDescent="0.25">
      <c r="A7" s="3">
        <v>43684</v>
      </c>
    </row>
    <row r="8" spans="1:1" x14ac:dyDescent="0.25">
      <c r="A8" s="3">
        <v>43685</v>
      </c>
    </row>
    <row r="9" spans="1:1" x14ac:dyDescent="0.25">
      <c r="A9" s="3">
        <v>43686</v>
      </c>
    </row>
    <row r="10" spans="1:1" x14ac:dyDescent="0.25">
      <c r="A10" s="3">
        <v>43687</v>
      </c>
    </row>
    <row r="11" spans="1:1" x14ac:dyDescent="0.25">
      <c r="A11" s="3">
        <v>43688</v>
      </c>
    </row>
    <row r="12" spans="1:1" x14ac:dyDescent="0.25">
      <c r="A12" s="3">
        <v>43689</v>
      </c>
    </row>
    <row r="13" spans="1:1" x14ac:dyDescent="0.25">
      <c r="A13" s="3">
        <v>43690</v>
      </c>
    </row>
    <row r="14" spans="1:1" x14ac:dyDescent="0.25">
      <c r="A14" s="3">
        <v>43691</v>
      </c>
    </row>
    <row r="15" spans="1:1" x14ac:dyDescent="0.25">
      <c r="A15" s="3">
        <v>43692</v>
      </c>
    </row>
    <row r="16" spans="1:1" x14ac:dyDescent="0.25">
      <c r="A16" s="3">
        <v>43693</v>
      </c>
    </row>
    <row r="17" spans="1:1" x14ac:dyDescent="0.25">
      <c r="A17" s="3">
        <v>43694</v>
      </c>
    </row>
    <row r="18" spans="1:1" x14ac:dyDescent="0.25">
      <c r="A18" s="3">
        <v>43695</v>
      </c>
    </row>
    <row r="19" spans="1:1" x14ac:dyDescent="0.25">
      <c r="A19" s="3">
        <v>43696</v>
      </c>
    </row>
    <row r="20" spans="1:1" x14ac:dyDescent="0.25">
      <c r="A20" s="3">
        <v>43697</v>
      </c>
    </row>
    <row r="21" spans="1:1" x14ac:dyDescent="0.25">
      <c r="A21" s="3">
        <v>43698</v>
      </c>
    </row>
    <row r="22" spans="1:1" x14ac:dyDescent="0.25">
      <c r="A22" s="3">
        <v>43699</v>
      </c>
    </row>
    <row r="23" spans="1:1" x14ac:dyDescent="0.25">
      <c r="A23" s="3">
        <v>43700</v>
      </c>
    </row>
    <row r="24" spans="1:1" x14ac:dyDescent="0.25">
      <c r="A24" s="3">
        <v>43701</v>
      </c>
    </row>
    <row r="25" spans="1:1" x14ac:dyDescent="0.25">
      <c r="A25" s="3">
        <v>43702</v>
      </c>
    </row>
    <row r="26" spans="1:1" x14ac:dyDescent="0.25">
      <c r="A26" s="3">
        <v>43703</v>
      </c>
    </row>
    <row r="27" spans="1:1" x14ac:dyDescent="0.25">
      <c r="A27" s="3">
        <v>43704</v>
      </c>
    </row>
    <row r="28" spans="1:1" x14ac:dyDescent="0.25">
      <c r="A28" s="3">
        <v>43705</v>
      </c>
    </row>
    <row r="29" spans="1:1" x14ac:dyDescent="0.25">
      <c r="A29" s="3">
        <v>43706</v>
      </c>
    </row>
    <row r="30" spans="1:1" x14ac:dyDescent="0.25">
      <c r="A30" s="3">
        <v>43707</v>
      </c>
    </row>
    <row r="31" spans="1:1" x14ac:dyDescent="0.25">
      <c r="A31" s="3">
        <v>43708</v>
      </c>
    </row>
    <row r="32" spans="1:1" x14ac:dyDescent="0.25">
      <c r="A32" s="3">
        <v>43709</v>
      </c>
    </row>
    <row r="33" spans="1:1" x14ac:dyDescent="0.25">
      <c r="A33" s="3">
        <v>43710</v>
      </c>
    </row>
    <row r="34" spans="1:1" x14ac:dyDescent="0.25">
      <c r="A34" s="3">
        <v>43711</v>
      </c>
    </row>
    <row r="35" spans="1:1" x14ac:dyDescent="0.25">
      <c r="A35" s="3">
        <v>43712</v>
      </c>
    </row>
    <row r="36" spans="1:1" x14ac:dyDescent="0.25">
      <c r="A36" s="3">
        <v>43713</v>
      </c>
    </row>
    <row r="37" spans="1:1" x14ac:dyDescent="0.25">
      <c r="A37" s="3">
        <v>43714</v>
      </c>
    </row>
    <row r="38" spans="1:1" x14ac:dyDescent="0.25">
      <c r="A38" s="3">
        <v>43715</v>
      </c>
    </row>
    <row r="39" spans="1:1" x14ac:dyDescent="0.25">
      <c r="A39" s="3">
        <v>43716</v>
      </c>
    </row>
    <row r="40" spans="1:1" x14ac:dyDescent="0.25">
      <c r="A40" s="3">
        <v>43717</v>
      </c>
    </row>
    <row r="41" spans="1:1" x14ac:dyDescent="0.25">
      <c r="A41" s="3">
        <v>43718</v>
      </c>
    </row>
    <row r="42" spans="1:1" x14ac:dyDescent="0.25">
      <c r="A42" s="3">
        <v>43719</v>
      </c>
    </row>
    <row r="43" spans="1:1" x14ac:dyDescent="0.25">
      <c r="A43" s="3">
        <v>43720</v>
      </c>
    </row>
    <row r="44" spans="1:1" x14ac:dyDescent="0.25">
      <c r="A44" s="3">
        <v>43721</v>
      </c>
    </row>
    <row r="45" spans="1:1" x14ac:dyDescent="0.25">
      <c r="A45" s="3">
        <v>43722</v>
      </c>
    </row>
    <row r="46" spans="1:1" x14ac:dyDescent="0.25">
      <c r="A46" s="3">
        <v>43723</v>
      </c>
    </row>
    <row r="47" spans="1:1" x14ac:dyDescent="0.25">
      <c r="A47" s="3">
        <v>43724</v>
      </c>
    </row>
    <row r="48" spans="1:1" x14ac:dyDescent="0.25">
      <c r="A48" s="3">
        <v>43725</v>
      </c>
    </row>
    <row r="49" spans="1:1" x14ac:dyDescent="0.25">
      <c r="A49" s="3">
        <v>43726</v>
      </c>
    </row>
    <row r="50" spans="1:1" x14ac:dyDescent="0.25">
      <c r="A50" s="3">
        <v>43727</v>
      </c>
    </row>
    <row r="51" spans="1:1" x14ac:dyDescent="0.25">
      <c r="A51" s="3">
        <v>43728</v>
      </c>
    </row>
    <row r="52" spans="1:1" x14ac:dyDescent="0.25">
      <c r="A52" s="3">
        <v>43729</v>
      </c>
    </row>
    <row r="53" spans="1:1" x14ac:dyDescent="0.25">
      <c r="A53" s="3">
        <v>43730</v>
      </c>
    </row>
    <row r="54" spans="1:1" x14ac:dyDescent="0.25">
      <c r="A54" s="3">
        <v>43731</v>
      </c>
    </row>
    <row r="55" spans="1:1" x14ac:dyDescent="0.25">
      <c r="A55" s="3">
        <v>43732</v>
      </c>
    </row>
    <row r="56" spans="1:1" x14ac:dyDescent="0.25">
      <c r="A56" s="3">
        <v>43733</v>
      </c>
    </row>
    <row r="57" spans="1:1" x14ac:dyDescent="0.25">
      <c r="A57" s="3">
        <v>43734</v>
      </c>
    </row>
    <row r="58" spans="1:1" x14ac:dyDescent="0.25">
      <c r="A58" s="3">
        <v>43735</v>
      </c>
    </row>
    <row r="59" spans="1:1" x14ac:dyDescent="0.25">
      <c r="A59" s="3">
        <v>43736</v>
      </c>
    </row>
    <row r="60" spans="1:1" x14ac:dyDescent="0.25">
      <c r="A60" s="3">
        <v>43737</v>
      </c>
    </row>
    <row r="61" spans="1:1" x14ac:dyDescent="0.25">
      <c r="A61" s="3">
        <v>43738</v>
      </c>
    </row>
    <row r="62" spans="1:1" x14ac:dyDescent="0.25">
      <c r="A62" s="3">
        <v>43739</v>
      </c>
    </row>
    <row r="63" spans="1:1" x14ac:dyDescent="0.25">
      <c r="A63" s="3">
        <v>43740</v>
      </c>
    </row>
    <row r="64" spans="1:1" x14ac:dyDescent="0.25">
      <c r="A64" s="3">
        <v>43741</v>
      </c>
    </row>
    <row r="65" spans="1:1" x14ac:dyDescent="0.25">
      <c r="A65" s="3">
        <v>43742</v>
      </c>
    </row>
    <row r="66" spans="1:1" x14ac:dyDescent="0.25">
      <c r="A66" s="3">
        <v>43743</v>
      </c>
    </row>
    <row r="67" spans="1:1" x14ac:dyDescent="0.25">
      <c r="A67" s="3">
        <v>43744</v>
      </c>
    </row>
    <row r="68" spans="1:1" x14ac:dyDescent="0.25">
      <c r="A68" s="3">
        <v>43745</v>
      </c>
    </row>
    <row r="69" spans="1:1" x14ac:dyDescent="0.25">
      <c r="A69" s="3">
        <v>43746</v>
      </c>
    </row>
    <row r="70" spans="1:1" x14ac:dyDescent="0.25">
      <c r="A70" s="3">
        <v>43747</v>
      </c>
    </row>
    <row r="71" spans="1:1" x14ac:dyDescent="0.25">
      <c r="A71" s="3">
        <v>43748</v>
      </c>
    </row>
    <row r="72" spans="1:1" x14ac:dyDescent="0.25">
      <c r="A72" s="3">
        <v>43749</v>
      </c>
    </row>
    <row r="73" spans="1:1" x14ac:dyDescent="0.25">
      <c r="A73" s="3">
        <v>43750</v>
      </c>
    </row>
    <row r="74" spans="1:1" x14ac:dyDescent="0.25">
      <c r="A74" s="3">
        <v>43751</v>
      </c>
    </row>
    <row r="75" spans="1:1" x14ac:dyDescent="0.25">
      <c r="A75" s="3">
        <v>43752</v>
      </c>
    </row>
    <row r="76" spans="1:1" x14ac:dyDescent="0.25">
      <c r="A76" s="3">
        <v>43753</v>
      </c>
    </row>
    <row r="77" spans="1:1" x14ac:dyDescent="0.25">
      <c r="A77" s="3">
        <v>43754</v>
      </c>
    </row>
    <row r="78" spans="1:1" x14ac:dyDescent="0.25">
      <c r="A78" s="3">
        <v>43755</v>
      </c>
    </row>
    <row r="79" spans="1:1" x14ac:dyDescent="0.25">
      <c r="A79" s="3">
        <v>43756</v>
      </c>
    </row>
    <row r="80" spans="1:1" x14ac:dyDescent="0.25">
      <c r="A80" s="3">
        <v>43757</v>
      </c>
    </row>
    <row r="81" spans="1:1" x14ac:dyDescent="0.25">
      <c r="A81" s="3">
        <v>43758</v>
      </c>
    </row>
    <row r="82" spans="1:1" x14ac:dyDescent="0.25">
      <c r="A82" s="3">
        <v>43759</v>
      </c>
    </row>
    <row r="83" spans="1:1" x14ac:dyDescent="0.25">
      <c r="A83" s="3">
        <v>43760</v>
      </c>
    </row>
    <row r="84" spans="1:1" x14ac:dyDescent="0.25">
      <c r="A84" s="3">
        <v>43761</v>
      </c>
    </row>
    <row r="85" spans="1:1" x14ac:dyDescent="0.25">
      <c r="A85" s="3">
        <v>43762</v>
      </c>
    </row>
    <row r="86" spans="1:1" x14ac:dyDescent="0.25">
      <c r="A86" s="3">
        <v>43763</v>
      </c>
    </row>
    <row r="87" spans="1:1" x14ac:dyDescent="0.25">
      <c r="A87" s="3">
        <v>43764</v>
      </c>
    </row>
    <row r="88" spans="1:1" x14ac:dyDescent="0.25">
      <c r="A88" s="3">
        <v>43765</v>
      </c>
    </row>
    <row r="89" spans="1:1" x14ac:dyDescent="0.25">
      <c r="A89" s="3">
        <v>43766</v>
      </c>
    </row>
    <row r="90" spans="1:1" x14ac:dyDescent="0.25">
      <c r="A90" s="3">
        <v>43767</v>
      </c>
    </row>
    <row r="91" spans="1:1" x14ac:dyDescent="0.25">
      <c r="A91" s="3">
        <v>43768</v>
      </c>
    </row>
    <row r="92" spans="1:1" x14ac:dyDescent="0.25">
      <c r="A92" s="3">
        <v>43769</v>
      </c>
    </row>
    <row r="93" spans="1:1" x14ac:dyDescent="0.25">
      <c r="A93" s="3">
        <v>43770</v>
      </c>
    </row>
    <row r="94" spans="1:1" x14ac:dyDescent="0.25">
      <c r="A94" s="3">
        <v>43771</v>
      </c>
    </row>
    <row r="95" spans="1:1" x14ac:dyDescent="0.25">
      <c r="A95" s="3">
        <v>43772</v>
      </c>
    </row>
    <row r="96" spans="1:1" x14ac:dyDescent="0.25">
      <c r="A96" s="3">
        <v>43773</v>
      </c>
    </row>
    <row r="97" spans="1:1" x14ac:dyDescent="0.25">
      <c r="A97" s="3">
        <v>43774</v>
      </c>
    </row>
    <row r="98" spans="1:1" x14ac:dyDescent="0.25">
      <c r="A98" s="3">
        <v>43775</v>
      </c>
    </row>
    <row r="99" spans="1:1" x14ac:dyDescent="0.25">
      <c r="A99" s="3">
        <v>43776</v>
      </c>
    </row>
    <row r="100" spans="1:1" x14ac:dyDescent="0.25">
      <c r="A100" s="3">
        <v>43777</v>
      </c>
    </row>
    <row r="101" spans="1:1" x14ac:dyDescent="0.25">
      <c r="A101" s="3">
        <v>43778</v>
      </c>
    </row>
    <row r="102" spans="1:1" x14ac:dyDescent="0.25">
      <c r="A102" s="3">
        <v>43779</v>
      </c>
    </row>
    <row r="103" spans="1:1" x14ac:dyDescent="0.25">
      <c r="A103" s="3">
        <v>43780</v>
      </c>
    </row>
    <row r="104" spans="1:1" x14ac:dyDescent="0.25">
      <c r="A104" s="3">
        <v>43781</v>
      </c>
    </row>
    <row r="105" spans="1:1" x14ac:dyDescent="0.25">
      <c r="A105" s="3">
        <v>43782</v>
      </c>
    </row>
    <row r="106" spans="1:1" x14ac:dyDescent="0.25">
      <c r="A106" s="3">
        <v>43783</v>
      </c>
    </row>
    <row r="107" spans="1:1" x14ac:dyDescent="0.25">
      <c r="A107" s="3">
        <v>43784</v>
      </c>
    </row>
    <row r="108" spans="1:1" x14ac:dyDescent="0.25">
      <c r="A108" s="3">
        <v>43785</v>
      </c>
    </row>
    <row r="109" spans="1:1" x14ac:dyDescent="0.25">
      <c r="A109" s="3">
        <v>43786</v>
      </c>
    </row>
    <row r="110" spans="1:1" x14ac:dyDescent="0.25">
      <c r="A110" s="3">
        <v>43787</v>
      </c>
    </row>
    <row r="111" spans="1:1" x14ac:dyDescent="0.25">
      <c r="A111" s="3">
        <v>43788</v>
      </c>
    </row>
    <row r="112" spans="1:1" x14ac:dyDescent="0.25">
      <c r="A112" s="3">
        <v>43789</v>
      </c>
    </row>
    <row r="113" spans="1:1" x14ac:dyDescent="0.25">
      <c r="A113" s="3">
        <v>43790</v>
      </c>
    </row>
    <row r="114" spans="1:1" x14ac:dyDescent="0.25">
      <c r="A114" s="3">
        <v>43791</v>
      </c>
    </row>
    <row r="115" spans="1:1" x14ac:dyDescent="0.25">
      <c r="A115" s="3">
        <v>43792</v>
      </c>
    </row>
    <row r="116" spans="1:1" x14ac:dyDescent="0.25">
      <c r="A116" s="3">
        <v>43793</v>
      </c>
    </row>
    <row r="117" spans="1:1" x14ac:dyDescent="0.25">
      <c r="A117" s="3">
        <v>43794</v>
      </c>
    </row>
    <row r="118" spans="1:1" x14ac:dyDescent="0.25">
      <c r="A118" s="3">
        <v>43795</v>
      </c>
    </row>
    <row r="119" spans="1:1" x14ac:dyDescent="0.25">
      <c r="A119" s="3">
        <v>43796</v>
      </c>
    </row>
    <row r="120" spans="1:1" x14ac:dyDescent="0.25">
      <c r="A120" s="3">
        <v>43797</v>
      </c>
    </row>
    <row r="121" spans="1:1" x14ac:dyDescent="0.25">
      <c r="A121" s="3">
        <v>43798</v>
      </c>
    </row>
    <row r="122" spans="1:1" x14ac:dyDescent="0.25">
      <c r="A122" s="3">
        <v>43799</v>
      </c>
    </row>
    <row r="123" spans="1:1" x14ac:dyDescent="0.25">
      <c r="A123" s="3">
        <v>43800</v>
      </c>
    </row>
    <row r="124" spans="1:1" x14ac:dyDescent="0.25">
      <c r="A124" s="3">
        <v>43801</v>
      </c>
    </row>
    <row r="125" spans="1:1" x14ac:dyDescent="0.25">
      <c r="A125" s="3">
        <v>43802</v>
      </c>
    </row>
    <row r="126" spans="1:1" x14ac:dyDescent="0.25">
      <c r="A126" s="3">
        <v>43803</v>
      </c>
    </row>
    <row r="127" spans="1:1" x14ac:dyDescent="0.25">
      <c r="A127" s="3">
        <v>43804</v>
      </c>
    </row>
    <row r="128" spans="1:1" x14ac:dyDescent="0.25">
      <c r="A128" s="3">
        <v>43805</v>
      </c>
    </row>
    <row r="129" spans="1:1" x14ac:dyDescent="0.25">
      <c r="A129" s="3">
        <v>43806</v>
      </c>
    </row>
    <row r="130" spans="1:1" x14ac:dyDescent="0.25">
      <c r="A130" s="3">
        <v>43807</v>
      </c>
    </row>
    <row r="131" spans="1:1" x14ac:dyDescent="0.25">
      <c r="A131" s="3">
        <v>43808</v>
      </c>
    </row>
    <row r="132" spans="1:1" x14ac:dyDescent="0.25">
      <c r="A132" s="3">
        <v>43809</v>
      </c>
    </row>
    <row r="133" spans="1:1" x14ac:dyDescent="0.25">
      <c r="A133" s="3">
        <v>43810</v>
      </c>
    </row>
    <row r="134" spans="1:1" x14ac:dyDescent="0.25">
      <c r="A134" s="3">
        <v>43811</v>
      </c>
    </row>
    <row r="135" spans="1:1" x14ac:dyDescent="0.25">
      <c r="A135" s="3">
        <v>43812</v>
      </c>
    </row>
    <row r="136" spans="1:1" x14ac:dyDescent="0.25">
      <c r="A136" s="3">
        <v>43813</v>
      </c>
    </row>
    <row r="137" spans="1:1" x14ac:dyDescent="0.25">
      <c r="A137" s="3">
        <v>43814</v>
      </c>
    </row>
    <row r="138" spans="1:1" x14ac:dyDescent="0.25">
      <c r="A138" s="3">
        <v>43815</v>
      </c>
    </row>
    <row r="139" spans="1:1" x14ac:dyDescent="0.25">
      <c r="A139" s="3">
        <v>43816</v>
      </c>
    </row>
    <row r="140" spans="1:1" x14ac:dyDescent="0.25">
      <c r="A140" s="3">
        <v>43817</v>
      </c>
    </row>
    <row r="141" spans="1:1" x14ac:dyDescent="0.25">
      <c r="A141" s="3">
        <v>43818</v>
      </c>
    </row>
    <row r="142" spans="1:1" x14ac:dyDescent="0.25">
      <c r="A142" s="3">
        <v>43819</v>
      </c>
    </row>
    <row r="143" spans="1:1" x14ac:dyDescent="0.25">
      <c r="A143" s="3">
        <v>43820</v>
      </c>
    </row>
    <row r="144" spans="1:1" x14ac:dyDescent="0.25">
      <c r="A144" s="3">
        <v>43821</v>
      </c>
    </row>
    <row r="145" spans="1:1" x14ac:dyDescent="0.25">
      <c r="A145" s="3">
        <v>43822</v>
      </c>
    </row>
    <row r="146" spans="1:1" x14ac:dyDescent="0.25">
      <c r="A146" s="3">
        <v>43823</v>
      </c>
    </row>
    <row r="147" spans="1:1" x14ac:dyDescent="0.25">
      <c r="A147" s="3">
        <v>43824</v>
      </c>
    </row>
    <row r="148" spans="1:1" x14ac:dyDescent="0.25">
      <c r="A148" s="3">
        <v>43825</v>
      </c>
    </row>
    <row r="149" spans="1:1" x14ac:dyDescent="0.25">
      <c r="A149" s="3">
        <v>43826</v>
      </c>
    </row>
    <row r="150" spans="1:1" x14ac:dyDescent="0.25">
      <c r="A150" s="3">
        <v>43827</v>
      </c>
    </row>
    <row r="151" spans="1:1" x14ac:dyDescent="0.25">
      <c r="A151" s="3">
        <v>43828</v>
      </c>
    </row>
    <row r="152" spans="1:1" x14ac:dyDescent="0.25">
      <c r="A152" s="3">
        <v>43829</v>
      </c>
    </row>
    <row r="153" spans="1:1" x14ac:dyDescent="0.25">
      <c r="A153" s="3">
        <v>43830</v>
      </c>
    </row>
    <row r="154" spans="1:1" x14ac:dyDescent="0.25">
      <c r="A154" s="3">
        <v>43831</v>
      </c>
    </row>
    <row r="155" spans="1:1" x14ac:dyDescent="0.25">
      <c r="A155" s="3">
        <v>43832</v>
      </c>
    </row>
    <row r="156" spans="1:1" x14ac:dyDescent="0.25">
      <c r="A156" s="3">
        <v>43833</v>
      </c>
    </row>
    <row r="157" spans="1:1" x14ac:dyDescent="0.25">
      <c r="A157" s="3">
        <v>43834</v>
      </c>
    </row>
    <row r="158" spans="1:1" x14ac:dyDescent="0.25">
      <c r="A158" s="3">
        <v>43835</v>
      </c>
    </row>
    <row r="159" spans="1:1" x14ac:dyDescent="0.25">
      <c r="A159" s="3">
        <v>43836</v>
      </c>
    </row>
    <row r="160" spans="1:1" x14ac:dyDescent="0.25">
      <c r="A160" s="3">
        <v>43837</v>
      </c>
    </row>
    <row r="161" spans="1:1" x14ac:dyDescent="0.25">
      <c r="A161" s="3">
        <v>43838</v>
      </c>
    </row>
    <row r="162" spans="1:1" x14ac:dyDescent="0.25">
      <c r="A162" s="3">
        <v>43839</v>
      </c>
    </row>
    <row r="163" spans="1:1" x14ac:dyDescent="0.25">
      <c r="A163" s="3">
        <v>43840</v>
      </c>
    </row>
    <row r="164" spans="1:1" x14ac:dyDescent="0.25">
      <c r="A164" s="3">
        <v>43841</v>
      </c>
    </row>
    <row r="165" spans="1:1" x14ac:dyDescent="0.25">
      <c r="A165" s="3">
        <v>43842</v>
      </c>
    </row>
    <row r="166" spans="1:1" x14ac:dyDescent="0.25">
      <c r="A166" s="3">
        <v>43843</v>
      </c>
    </row>
    <row r="167" spans="1:1" x14ac:dyDescent="0.25">
      <c r="A167" s="3">
        <v>43844</v>
      </c>
    </row>
    <row r="168" spans="1:1" x14ac:dyDescent="0.25">
      <c r="A168" s="3">
        <v>43845</v>
      </c>
    </row>
    <row r="169" spans="1:1" x14ac:dyDescent="0.25">
      <c r="A169" s="3">
        <v>43846</v>
      </c>
    </row>
    <row r="170" spans="1:1" x14ac:dyDescent="0.25">
      <c r="A170" s="3">
        <v>43847</v>
      </c>
    </row>
    <row r="171" spans="1:1" x14ac:dyDescent="0.25">
      <c r="A171" s="3">
        <v>43848</v>
      </c>
    </row>
    <row r="172" spans="1:1" x14ac:dyDescent="0.25">
      <c r="A172" s="3">
        <v>43849</v>
      </c>
    </row>
    <row r="173" spans="1:1" x14ac:dyDescent="0.25">
      <c r="A173" s="3">
        <v>43850</v>
      </c>
    </row>
    <row r="174" spans="1:1" x14ac:dyDescent="0.25">
      <c r="A174" s="3">
        <v>43851</v>
      </c>
    </row>
    <row r="175" spans="1:1" x14ac:dyDescent="0.25">
      <c r="A175" s="3">
        <v>43852</v>
      </c>
    </row>
    <row r="176" spans="1:1" x14ac:dyDescent="0.25">
      <c r="A176" s="3">
        <v>43853</v>
      </c>
    </row>
    <row r="177" spans="1:1" x14ac:dyDescent="0.25">
      <c r="A177" s="3">
        <v>43854</v>
      </c>
    </row>
    <row r="178" spans="1:1" x14ac:dyDescent="0.25">
      <c r="A178" s="3">
        <v>43855</v>
      </c>
    </row>
    <row r="179" spans="1:1" x14ac:dyDescent="0.25">
      <c r="A179" s="3">
        <v>43856</v>
      </c>
    </row>
    <row r="180" spans="1:1" x14ac:dyDescent="0.25">
      <c r="A180" s="3">
        <v>43857</v>
      </c>
    </row>
    <row r="181" spans="1:1" x14ac:dyDescent="0.25">
      <c r="A181" s="3">
        <v>43858</v>
      </c>
    </row>
    <row r="182" spans="1:1" x14ac:dyDescent="0.25">
      <c r="A182" s="3">
        <v>43859</v>
      </c>
    </row>
    <row r="183" spans="1:1" x14ac:dyDescent="0.25">
      <c r="A183" s="3">
        <v>43860</v>
      </c>
    </row>
    <row r="184" spans="1:1" x14ac:dyDescent="0.25">
      <c r="A184" s="3">
        <v>43861</v>
      </c>
    </row>
    <row r="185" spans="1:1" x14ac:dyDescent="0.25">
      <c r="A185" s="3">
        <v>43862</v>
      </c>
    </row>
    <row r="186" spans="1:1" x14ac:dyDescent="0.25">
      <c r="A186" s="3">
        <v>43863</v>
      </c>
    </row>
    <row r="187" spans="1:1" x14ac:dyDescent="0.25">
      <c r="A187" s="3">
        <v>43864</v>
      </c>
    </row>
    <row r="188" spans="1:1" x14ac:dyDescent="0.25">
      <c r="A188" s="3">
        <v>43865</v>
      </c>
    </row>
    <row r="189" spans="1:1" x14ac:dyDescent="0.25">
      <c r="A189" s="3">
        <v>43866</v>
      </c>
    </row>
    <row r="190" spans="1:1" x14ac:dyDescent="0.25">
      <c r="A190" s="3">
        <v>43867</v>
      </c>
    </row>
    <row r="191" spans="1:1" x14ac:dyDescent="0.25">
      <c r="A191" s="3">
        <v>43868</v>
      </c>
    </row>
    <row r="192" spans="1:1" x14ac:dyDescent="0.25">
      <c r="A192" s="3">
        <v>43869</v>
      </c>
    </row>
    <row r="193" spans="1:1" x14ac:dyDescent="0.25">
      <c r="A193" s="3">
        <v>43870</v>
      </c>
    </row>
    <row r="194" spans="1:1" x14ac:dyDescent="0.25">
      <c r="A194" s="3">
        <v>43871</v>
      </c>
    </row>
    <row r="195" spans="1:1" x14ac:dyDescent="0.25">
      <c r="A195" s="3">
        <v>43872</v>
      </c>
    </row>
    <row r="196" spans="1:1" x14ac:dyDescent="0.25">
      <c r="A196" s="3">
        <v>43873</v>
      </c>
    </row>
    <row r="197" spans="1:1" x14ac:dyDescent="0.25">
      <c r="A197" s="3">
        <v>43874</v>
      </c>
    </row>
    <row r="198" spans="1:1" x14ac:dyDescent="0.25">
      <c r="A198" s="3">
        <v>43875</v>
      </c>
    </row>
    <row r="199" spans="1:1" x14ac:dyDescent="0.25">
      <c r="A199" s="3">
        <v>43876</v>
      </c>
    </row>
    <row r="200" spans="1:1" x14ac:dyDescent="0.25">
      <c r="A200" s="3">
        <v>43877</v>
      </c>
    </row>
    <row r="201" spans="1:1" x14ac:dyDescent="0.25">
      <c r="A201" s="3">
        <v>43878</v>
      </c>
    </row>
    <row r="202" spans="1:1" x14ac:dyDescent="0.25">
      <c r="A202" s="3">
        <v>43879</v>
      </c>
    </row>
    <row r="203" spans="1:1" x14ac:dyDescent="0.25">
      <c r="A203" s="3">
        <v>43880</v>
      </c>
    </row>
    <row r="204" spans="1:1" x14ac:dyDescent="0.25">
      <c r="A204" s="3">
        <v>43881</v>
      </c>
    </row>
    <row r="205" spans="1:1" x14ac:dyDescent="0.25">
      <c r="A205" s="3">
        <v>43882</v>
      </c>
    </row>
    <row r="206" spans="1:1" x14ac:dyDescent="0.25">
      <c r="A206" s="3">
        <v>43883</v>
      </c>
    </row>
    <row r="207" spans="1:1" x14ac:dyDescent="0.25">
      <c r="A207" s="3">
        <v>43884</v>
      </c>
    </row>
    <row r="208" spans="1:1" x14ac:dyDescent="0.25">
      <c r="A208" s="3">
        <v>43885</v>
      </c>
    </row>
    <row r="209" spans="1:1" x14ac:dyDescent="0.25">
      <c r="A209" s="3">
        <v>43886</v>
      </c>
    </row>
    <row r="210" spans="1:1" x14ac:dyDescent="0.25">
      <c r="A210" s="3">
        <v>43887</v>
      </c>
    </row>
    <row r="211" spans="1:1" x14ac:dyDescent="0.25">
      <c r="A211" s="3">
        <v>43888</v>
      </c>
    </row>
    <row r="212" spans="1:1" x14ac:dyDescent="0.25">
      <c r="A212" s="3">
        <v>43889</v>
      </c>
    </row>
    <row r="213" spans="1:1" x14ac:dyDescent="0.25">
      <c r="A213" s="3">
        <v>43890</v>
      </c>
    </row>
    <row r="214" spans="1:1" x14ac:dyDescent="0.25">
      <c r="A214" s="3">
        <v>43891</v>
      </c>
    </row>
    <row r="215" spans="1:1" x14ac:dyDescent="0.25">
      <c r="A215" s="3">
        <v>43892</v>
      </c>
    </row>
    <row r="216" spans="1:1" x14ac:dyDescent="0.25">
      <c r="A216" s="3">
        <v>43893</v>
      </c>
    </row>
    <row r="217" spans="1:1" x14ac:dyDescent="0.25">
      <c r="A217" s="3">
        <v>43894</v>
      </c>
    </row>
    <row r="218" spans="1:1" x14ac:dyDescent="0.25">
      <c r="A218" s="3">
        <v>43895</v>
      </c>
    </row>
    <row r="219" spans="1:1" x14ac:dyDescent="0.25">
      <c r="A219" s="3">
        <v>43896</v>
      </c>
    </row>
    <row r="220" spans="1:1" x14ac:dyDescent="0.25">
      <c r="A220" s="3">
        <v>43897</v>
      </c>
    </row>
    <row r="221" spans="1:1" x14ac:dyDescent="0.25">
      <c r="A221" s="3">
        <v>43898</v>
      </c>
    </row>
    <row r="222" spans="1:1" x14ac:dyDescent="0.25">
      <c r="A222" s="3">
        <v>43899</v>
      </c>
    </row>
    <row r="223" spans="1:1" x14ac:dyDescent="0.25">
      <c r="A223" s="3">
        <v>43900</v>
      </c>
    </row>
    <row r="224" spans="1:1" x14ac:dyDescent="0.25">
      <c r="A224" s="3">
        <v>43901</v>
      </c>
    </row>
    <row r="225" spans="1:1" x14ac:dyDescent="0.25">
      <c r="A225" s="3">
        <v>43902</v>
      </c>
    </row>
    <row r="226" spans="1:1" x14ac:dyDescent="0.25">
      <c r="A226" s="3">
        <v>43903</v>
      </c>
    </row>
    <row r="227" spans="1:1" x14ac:dyDescent="0.25">
      <c r="A227" s="3">
        <v>43904</v>
      </c>
    </row>
    <row r="228" spans="1:1" x14ac:dyDescent="0.25">
      <c r="A228" s="3">
        <v>43905</v>
      </c>
    </row>
    <row r="229" spans="1:1" x14ac:dyDescent="0.25">
      <c r="A229" s="3">
        <v>43906</v>
      </c>
    </row>
    <row r="230" spans="1:1" x14ac:dyDescent="0.25">
      <c r="A230" s="3">
        <v>43907</v>
      </c>
    </row>
    <row r="231" spans="1:1" x14ac:dyDescent="0.25">
      <c r="A231" s="3">
        <v>43908</v>
      </c>
    </row>
    <row r="232" spans="1:1" x14ac:dyDescent="0.25">
      <c r="A232" s="3">
        <v>43909</v>
      </c>
    </row>
    <row r="233" spans="1:1" x14ac:dyDescent="0.25">
      <c r="A233" s="3">
        <v>43910</v>
      </c>
    </row>
    <row r="234" spans="1:1" x14ac:dyDescent="0.25">
      <c r="A234" s="3">
        <v>43911</v>
      </c>
    </row>
    <row r="235" spans="1:1" x14ac:dyDescent="0.25">
      <c r="A235" s="3">
        <v>43912</v>
      </c>
    </row>
    <row r="236" spans="1:1" x14ac:dyDescent="0.25">
      <c r="A236" s="3">
        <v>43913</v>
      </c>
    </row>
    <row r="237" spans="1:1" x14ac:dyDescent="0.25">
      <c r="A237" s="3">
        <v>43914</v>
      </c>
    </row>
    <row r="238" spans="1:1" x14ac:dyDescent="0.25">
      <c r="A238" s="3">
        <v>43915</v>
      </c>
    </row>
    <row r="239" spans="1:1" x14ac:dyDescent="0.25">
      <c r="A239" s="3">
        <v>43916</v>
      </c>
    </row>
    <row r="240" spans="1:1" x14ac:dyDescent="0.25">
      <c r="A240" s="3">
        <v>43917</v>
      </c>
    </row>
    <row r="241" spans="1:1" x14ac:dyDescent="0.25">
      <c r="A241" s="3">
        <v>43918</v>
      </c>
    </row>
    <row r="242" spans="1:1" x14ac:dyDescent="0.25">
      <c r="A242" s="3">
        <v>43919</v>
      </c>
    </row>
    <row r="243" spans="1:1" x14ac:dyDescent="0.25">
      <c r="A243" s="3">
        <v>43920</v>
      </c>
    </row>
    <row r="244" spans="1:1" x14ac:dyDescent="0.25">
      <c r="A244" s="3">
        <v>43921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Map</vt:lpstr>
      <vt:lpstr>Network Diagram E&amp;W</vt:lpstr>
      <vt:lpstr>Network Diagram Scot</vt:lpstr>
      <vt:lpstr>Dates</vt:lpstr>
      <vt:lpstr>DateRange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Grid</dc:creator>
  <cp:lastModifiedBy>National Grid</cp:lastModifiedBy>
  <dcterms:created xsi:type="dcterms:W3CDTF">2019-09-02T15:13:47Z</dcterms:created>
  <dcterms:modified xsi:type="dcterms:W3CDTF">2020-06-12T14:40:04Z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906337069</vt:i4>
  </property>
  <property fmtid="{D5CDD505-2E9C-101B-9397-08002B2CF9AE}" pid="3" name="_NewReviewCycle">
    <vt:lpwstr/>
  </property>
  <property fmtid="{D5CDD505-2E9C-101B-9397-08002B2CF9AE}" pid="4" name="_EmailSubject">
    <vt:lpwstr>Operational Insights</vt:lpwstr>
  </property>
  <property fmtid="{D5CDD505-2E9C-101B-9397-08002B2CF9AE}" pid="5" name="_AuthorEmail">
    <vt:lpwstr>Neil.Morgans@nationalgrideso.com</vt:lpwstr>
  </property>
  <property fmtid="{D5CDD505-2E9C-101B-9397-08002B2CF9AE}" pid="6" name="_AuthorEmailDisplayName">
    <vt:lpwstr>Morgans (ESO), Neil</vt:lpwstr>
  </property>
  <property fmtid="{D5CDD505-2E9C-101B-9397-08002B2CF9AE}" pid="7" name="_PreviousAdHocReviewCycleID">
    <vt:i4>371698893</vt:i4>
  </property>
  <property fmtid="{D5CDD505-2E9C-101B-9397-08002B2CF9AE}" pid="8" name="_ReviewingToolsShownOnce">
    <vt:lpwstr/>
  </property>
  <property fmtid="{D5CDD505-2E9C-101B-9397-08002B2CF9AE}" pid="9" name="Workbook id">
    <vt:lpwstr>c204dbe1-8490-4407-b57d-f7b699fb3d32</vt:lpwstr>
  </property>
  <property fmtid="{D5CDD505-2E9C-101B-9397-08002B2CF9AE}" pid="10" name="Workbook type">
    <vt:lpwstr>Custom</vt:lpwstr>
  </property>
  <property fmtid="{D5CDD505-2E9C-101B-9397-08002B2CF9AE}" pid="11" name="Workbook version">
    <vt:lpwstr>Custom</vt:lpwstr>
  </property>
</Properties>
</file>